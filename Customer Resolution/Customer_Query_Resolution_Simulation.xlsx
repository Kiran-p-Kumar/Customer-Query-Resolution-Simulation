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 activeTab="2"/>
  </bookViews>
  <sheets>
    <sheet name="Employee_Query_Data" sheetId="1" r:id="rId1"/>
    <sheet name="Resolution_Log" sheetId="2" r:id="rId2"/>
    <sheet name="SOP_Guide" sheetId="3" r:id="rId3"/>
    <sheet name="Dashboard" sheetId="4" r:id="rId4"/>
  </sheets>
  <definedNames>
    <definedName name="_xlnm._FilterDatabase" localSheetId="0" hidden="1">Employee_Query_Data!$A$1:$P$1</definedName>
    <definedName name="_xlnm._FilterDatabase" localSheetId="1" hidden="1">Resolution_Log!$A$1:$G$1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4"/>
  <c r="E25"/>
  <c r="H24"/>
  <c r="E24"/>
  <c r="H23"/>
  <c r="E23"/>
  <c r="H22"/>
  <c r="E22"/>
  <c r="B22"/>
  <c r="H21"/>
  <c r="E21"/>
  <c r="B21"/>
  <c r="H20"/>
  <c r="E20"/>
  <c r="B20"/>
  <c r="H19"/>
  <c r="E19"/>
  <c r="B19"/>
  <c r="B15"/>
  <c r="B14"/>
  <c r="E13"/>
  <c r="B13"/>
  <c r="H12"/>
  <c r="E12"/>
  <c r="B12"/>
  <c r="H11"/>
  <c r="E11"/>
  <c r="B11"/>
  <c r="H10"/>
  <c r="E10"/>
  <c r="B10"/>
  <c r="H9"/>
  <c r="E9"/>
  <c r="B9"/>
  <c r="K4"/>
  <c r="I4"/>
  <c r="G4"/>
  <c r="E4"/>
  <c r="C4"/>
  <c r="A4"/>
</calcChain>
</file>

<file path=xl/sharedStrings.xml><?xml version="1.0" encoding="utf-8"?>
<sst xmlns="http://schemas.openxmlformats.org/spreadsheetml/2006/main" count="1851" uniqueCount="583">
  <si>
    <t>Ticket ID</t>
  </si>
  <si>
    <t>Employee ID</t>
  </si>
  <si>
    <t>Employee Name</t>
  </si>
  <si>
    <t>Region</t>
  </si>
  <si>
    <t>Query Channel</t>
  </si>
  <si>
    <t>Query Type</t>
  </si>
  <si>
    <t>Query Description</t>
  </si>
  <si>
    <t>Priority</t>
  </si>
  <si>
    <t>Date Raised</t>
  </si>
  <si>
    <t>Status</t>
  </si>
  <si>
    <t>Assigned Team</t>
  </si>
  <si>
    <t>First Response Time (hrs)</t>
  </si>
  <si>
    <t>Resolution Time (hrs)</t>
  </si>
  <si>
    <t>Escalation Required</t>
  </si>
  <si>
    <t>Customer Satisfaction</t>
  </si>
  <si>
    <t>Final Resolution</t>
  </si>
  <si>
    <t>TKT-1001</t>
  </si>
  <si>
    <t>EMP93810</t>
  </si>
  <si>
    <t>Sophie Sharma</t>
  </si>
  <si>
    <t>UK</t>
  </si>
  <si>
    <t>Call</t>
  </si>
  <si>
    <t>Payroll</t>
  </si>
  <si>
    <t>March pay slip shows incorrect gross amount</t>
  </si>
  <si>
    <t>Medium</t>
  </si>
  <si>
    <t>Open</t>
  </si>
  <si>
    <t>Payroll Ops</t>
  </si>
  <si>
    <t>No</t>
  </si>
  <si>
    <t>Satisfied</t>
  </si>
  <si>
    <t>Verified payroll cycle and informed employee of bank processing delay</t>
  </si>
  <si>
    <t>TKT-1002</t>
  </si>
  <si>
    <t>EMP83563</t>
  </si>
  <si>
    <t>David Desai</t>
  </si>
  <si>
    <t>Email</t>
  </si>
  <si>
    <t>Leave Balance</t>
  </si>
  <si>
    <t>Leave taken showing as absent in attendance records</t>
  </si>
  <si>
    <t>Low</t>
  </si>
  <si>
    <t>Resolved</t>
  </si>
  <si>
    <t>HR Shared Services</t>
  </si>
  <si>
    <t>Leave record reconciled; system refreshed and confirmed</t>
  </si>
  <si>
    <t>TKT-1003</t>
  </si>
  <si>
    <t>EMP23396</t>
  </si>
  <si>
    <t>Mohammed Taylor</t>
  </si>
  <si>
    <t>India</t>
  </si>
  <si>
    <t>Webform</t>
  </si>
  <si>
    <t>Time &amp; Expense</t>
  </si>
  <si>
    <t>Expense claim reimbursement delayed beyond 30 days</t>
  </si>
  <si>
    <t>In Progress</t>
  </si>
  <si>
    <t>Finance Ops</t>
  </si>
  <si>
    <t>Neutral</t>
  </si>
  <si>
    <t>Travel allowance verified and credited in next payroll</t>
  </si>
  <si>
    <t>TKT-1004</t>
  </si>
  <si>
    <t>EMP85674</t>
  </si>
  <si>
    <t>Chat</t>
  </si>
  <si>
    <t>Login Access</t>
  </si>
  <si>
    <t>Account locked after multiple failed login attempts</t>
  </si>
  <si>
    <t>High</t>
  </si>
  <si>
    <t>IT Helpdesk</t>
  </si>
  <si>
    <t>VPN access reinstated after manager authorisation received</t>
  </si>
  <si>
    <t>TKT-1005</t>
  </si>
  <si>
    <t>EMP99593</t>
  </si>
  <si>
    <t>Charlotte Khan</t>
  </si>
  <si>
    <t>Two-factor authentication code not received on email</t>
  </si>
  <si>
    <t>Escalated</t>
  </si>
  <si>
    <t>Yes</t>
  </si>
  <si>
    <t>Reset portal access and confirmed successful login with employee</t>
  </si>
  <si>
    <t>TKT-1006</t>
  </si>
  <si>
    <t>EMP40021</t>
  </si>
  <si>
    <t>Henry Patel</t>
  </si>
  <si>
    <t>APAC</t>
  </si>
  <si>
    <t>Payroll on hold due to missing bank details update</t>
  </si>
  <si>
    <t>Escalated to payroll ops team; updated OT calculation and closed</t>
  </si>
  <si>
    <t>TKT-1007</t>
  </si>
  <si>
    <t>EMP42325</t>
  </si>
  <si>
    <t>Divya Thomas</t>
  </si>
  <si>
    <t>US</t>
  </si>
  <si>
    <t>Benefits</t>
  </si>
  <si>
    <t>Parental benefit enrollment deadline query</t>
  </si>
  <si>
    <t>Benefits Team</t>
  </si>
  <si>
    <t>Insurance card raised with provider; delivery expected in 5 days</t>
  </si>
  <si>
    <t>TKT-1008</t>
  </si>
  <si>
    <t>EMP30033</t>
  </si>
  <si>
    <t>Charlotte Singh</t>
  </si>
  <si>
    <t>Arrears payment from January still not received</t>
  </si>
  <si>
    <t>Account details updated; payment reprocessed within 48 hours</t>
  </si>
  <si>
    <t>TKT-1009</t>
  </si>
  <si>
    <t>EMP44973</t>
  </si>
  <si>
    <t>William Iyer</t>
  </si>
  <si>
    <t>Salary not credited for March payroll run</t>
  </si>
  <si>
    <t>Regenerated pay slip and shared via secure portal link</t>
  </si>
  <si>
    <t>TKT-1010</t>
  </si>
  <si>
    <t>EMP93748</t>
  </si>
  <si>
    <t>Meera Jackson</t>
  </si>
  <si>
    <t>Last month's salary credited to wrong account</t>
  </si>
  <si>
    <t>Dissatisfied</t>
  </si>
  <si>
    <t>TKT-1011</t>
  </si>
  <si>
    <t>EMP41385</t>
  </si>
  <si>
    <t>Priya Gupta</t>
  </si>
  <si>
    <t>Voicemail</t>
  </si>
  <si>
    <t>Bonus amount missing from March salary statement</t>
  </si>
  <si>
    <t>Bank details verified and updated; payroll released next cycle</t>
  </si>
  <si>
    <t>TKT-1012</t>
  </si>
  <si>
    <t>EMP65461</t>
  </si>
  <si>
    <t>David Moore</t>
  </si>
  <si>
    <t>Maternity leave balance not applied correctly</t>
  </si>
  <si>
    <t>TKT-1013</t>
  </si>
  <si>
    <t>EMP12757</t>
  </si>
  <si>
    <t>Fatima Thomas</t>
  </si>
  <si>
    <t>Raised correction request with finance; duplicate deduction reversed</t>
  </si>
  <si>
    <t>TKT-1014</t>
  </si>
  <si>
    <t>EMP80678</t>
  </si>
  <si>
    <t>James Thompson</t>
  </si>
  <si>
    <t>OPD claim submitted two weeks ago still pending</t>
  </si>
  <si>
    <t>Enrollment confirmed with benefits team; portal refreshed</t>
  </si>
  <si>
    <t>TKT-1015</t>
  </si>
  <si>
    <t>EMP98259</t>
  </si>
  <si>
    <t>Charlotte Iyer</t>
  </si>
  <si>
    <t>Annual leave entitlement not updated for new year</t>
  </si>
  <si>
    <t>Leave entitlement refreshed after annual reset confirmation</t>
  </si>
  <si>
    <t>TKT-1016</t>
  </si>
  <si>
    <t>EMP68082</t>
  </si>
  <si>
    <t>Pooja Harris</t>
  </si>
  <si>
    <t>Foreign currency expense claim conversion error</t>
  </si>
  <si>
    <t>Timesheet unlocked by admin; employee completed submission</t>
  </si>
  <si>
    <t>TKT-1017</t>
  </si>
  <si>
    <t>EMP62565</t>
  </si>
  <si>
    <t>Vikram Patel</t>
  </si>
  <si>
    <t>Dental plan activated after verifying enrollment eligibility</t>
  </si>
  <si>
    <t>TKT-1018</t>
  </si>
  <si>
    <t>EMP34890</t>
  </si>
  <si>
    <t>Sneha Brown</t>
  </si>
  <si>
    <t>Client site travel allowance not reimbursed</t>
  </si>
  <si>
    <t>Business meal claim approved after policy review and resubmission</t>
  </si>
  <si>
    <t>TKT-1019</t>
  </si>
  <si>
    <t>EMP18981</t>
  </si>
  <si>
    <t>Rohan Khan</t>
  </si>
  <si>
    <t>TKT-1020</t>
  </si>
  <si>
    <t>EMP36772</t>
  </si>
  <si>
    <t>Kiran Desai</t>
  </si>
  <si>
    <t>Pay slip not available in HR portal for February</t>
  </si>
  <si>
    <t>TKT-1021</t>
  </si>
  <si>
    <t>EMP44760</t>
  </si>
  <si>
    <t>James Moore</t>
  </si>
  <si>
    <t>Emergency leave tagged correctly; balance updated in HRMS</t>
  </si>
  <si>
    <t>TKT-1022</t>
  </si>
  <si>
    <t>EMP49240</t>
  </si>
  <si>
    <t>Isla Martin</t>
  </si>
  <si>
    <t>Maternity leave policy applied correctly; balance updated</t>
  </si>
  <si>
    <t>TKT-1023</t>
  </si>
  <si>
    <t>EMP76244</t>
  </si>
  <si>
    <t>Oliver Davis</t>
  </si>
  <si>
    <t>TKT-1024</t>
  </si>
  <si>
    <t>EMP66057</t>
  </si>
  <si>
    <t>Ethan Sharma</t>
  </si>
  <si>
    <t>TKT-1025</t>
  </si>
  <si>
    <t>EMP56898</t>
  </si>
  <si>
    <t>David Martin</t>
  </si>
  <si>
    <t>Policy Clarification</t>
  </si>
  <si>
    <t>Probation period extension policy clarification needed</t>
  </si>
  <si>
    <t>HR Compliance</t>
  </si>
  <si>
    <t>Notice period clause explained; HR contract team looped in</t>
  </si>
  <si>
    <t>TKT-1026</t>
  </si>
  <si>
    <t>EMP64040</t>
  </si>
  <si>
    <t>Arjun Singh</t>
  </si>
  <si>
    <t>Attendance Issue</t>
  </si>
  <si>
    <t>Half-day leave shows as full-day absent</t>
  </si>
  <si>
    <t>Attendance Desk</t>
  </si>
  <si>
    <t>Holiday compensation marked correctly after calendar check</t>
  </si>
  <si>
    <t>TKT-1027</t>
  </si>
  <si>
    <t>EMP55830</t>
  </si>
  <si>
    <t>Sneha Pillai</t>
  </si>
  <si>
    <t>Double deduction of provident fund this month</t>
  </si>
  <si>
    <t>Arrears processed in next payroll cycle; employee notified</t>
  </si>
  <si>
    <t>TKT-1028</t>
  </si>
  <si>
    <t>EMP99065</t>
  </si>
  <si>
    <t>Henry Thomas</t>
  </si>
  <si>
    <t>Overtime pay rate policy for weekend shifts query</t>
  </si>
  <si>
    <t>Bonus criteria document shared; timeline clarified by HR</t>
  </si>
  <si>
    <t>TKT-1029</t>
  </si>
  <si>
    <t>EMP25157</t>
  </si>
  <si>
    <t>Aisha Shah</t>
  </si>
  <si>
    <t>Unable to log into HR portal after password reset</t>
  </si>
  <si>
    <t>Payroll module access restored after role verification</t>
  </si>
  <si>
    <t>TKT-1030</t>
  </si>
  <si>
    <t>EMP91678</t>
  </si>
  <si>
    <t>Ravi Martin</t>
  </si>
  <si>
    <t>Attendance entry corrected; sick leave balance restored</t>
  </si>
  <si>
    <t>TKT-1031</t>
  </si>
  <si>
    <t>EMP90676</t>
  </si>
  <si>
    <t>Fatima Nair</t>
  </si>
  <si>
    <t>Carry-forward leaves from last year not reflecting</t>
  </si>
  <si>
    <t>TKT-1032</t>
  </si>
  <si>
    <t>EMP96356</t>
  </si>
  <si>
    <t>Mohammed Nair</t>
  </si>
  <si>
    <t>TKT-1033</t>
  </si>
  <si>
    <t>EMP69692</t>
  </si>
  <si>
    <t>Noah Shah</t>
  </si>
  <si>
    <t>Role-based access not updated after promotion</t>
  </si>
  <si>
    <t>SSO configuration fixed by IT team; login confirmed working</t>
  </si>
  <si>
    <t>TKT-1034</t>
  </si>
  <si>
    <t>EMP38683</t>
  </si>
  <si>
    <t>Ananya White</t>
  </si>
  <si>
    <t>Bonus amount added to reconciliation list for current month</t>
  </si>
  <si>
    <t>TKT-1035</t>
  </si>
  <si>
    <t>EMP90301</t>
  </si>
  <si>
    <t>Henry Thompson</t>
  </si>
  <si>
    <t>Holiday worked showing as regular working day</t>
  </si>
  <si>
    <t>TKT-1036</t>
  </si>
  <si>
    <t>EMP92149</t>
  </si>
  <si>
    <t>Kavya Davis</t>
  </si>
  <si>
    <t>Leave request approved but balance not reduced</t>
  </si>
  <si>
    <t>LOP marking reversed after holiday calendar verification</t>
  </si>
  <si>
    <t>TKT-1037</t>
  </si>
  <si>
    <t>EMP63424</t>
  </si>
  <si>
    <t>Ravi Thomas</t>
  </si>
  <si>
    <t>Travel policy document shared; employee query addressed</t>
  </si>
  <si>
    <t>TKT-1038</t>
  </si>
  <si>
    <t>EMP10772</t>
  </si>
  <si>
    <t>Emma Nair</t>
  </si>
  <si>
    <t>Attendance regularisation request not processed</t>
  </si>
  <si>
    <t>Regularisation request processed after 48-hour review</t>
  </si>
  <si>
    <t>TKT-1039</t>
  </si>
  <si>
    <t>EMP54057</t>
  </si>
  <si>
    <t>Kiran Martin</t>
  </si>
  <si>
    <t>Notice period clause in offer letter not understood</t>
  </si>
  <si>
    <t>TKT-1040</t>
  </si>
  <si>
    <t>EMP70515</t>
  </si>
  <si>
    <t>Ananya Patel</t>
  </si>
  <si>
    <t>Flexible benefit plan window not opening this quarter</t>
  </si>
  <si>
    <t>Vision benefit claim processed for previous year retroactively</t>
  </si>
  <si>
    <t>TKT-1041</t>
  </si>
  <si>
    <t>EMP16826</t>
  </si>
  <si>
    <t>Emma Gupta</t>
  </si>
  <si>
    <t>TKT-1042</t>
  </si>
  <si>
    <t>EMP70952</t>
  </si>
  <si>
    <t>Lucas Davis</t>
  </si>
  <si>
    <t>Travel expense report rejected due to missing receipts</t>
  </si>
  <si>
    <t>Overtime hours corrected after manager approval verification</t>
  </si>
  <si>
    <t>TKT-1043</t>
  </si>
  <si>
    <t>EMP61990</t>
  </si>
  <si>
    <t>Lucas Brown</t>
  </si>
  <si>
    <t>Expense claim escalated to finance; reimbursement processed</t>
  </si>
  <si>
    <t>TKT-1044</t>
  </si>
  <si>
    <t>EMP55508</t>
  </si>
  <si>
    <t>Ethan Kumar</t>
  </si>
  <si>
    <t>TKT-1045</t>
  </si>
  <si>
    <t>EMP33086</t>
  </si>
  <si>
    <t>Divya Mehta</t>
  </si>
  <si>
    <t>Performance bonus criteria and payout schedule query</t>
  </si>
  <si>
    <t>WFH policy guidelines emailed; employee confirmed understanding</t>
  </si>
  <si>
    <t>TKT-1046</t>
  </si>
  <si>
    <t>EMP46559</t>
  </si>
  <si>
    <t>Vikram Lee</t>
  </si>
  <si>
    <t>Overtime hours not updated in time tracker</t>
  </si>
  <si>
    <t>TKT-1047</t>
  </si>
  <si>
    <t>EMP46655</t>
  </si>
  <si>
    <t>Vikram Jackson</t>
  </si>
  <si>
    <t>TKT-1048</t>
  </si>
  <si>
    <t>EMP22196</t>
  </si>
  <si>
    <t>Sneha Gupta</t>
  </si>
  <si>
    <t>Payroll module access removed without notification</t>
  </si>
  <si>
    <t>TKT-1049</t>
  </si>
  <si>
    <t>EMP42951</t>
  </si>
  <si>
    <t>Kavya Johnson</t>
  </si>
  <si>
    <t>System access provisioned after IT onboarding checklist completion</t>
  </si>
  <si>
    <t>TKT-1050</t>
  </si>
  <si>
    <t>EMP48829</t>
  </si>
  <si>
    <t>Kavya Reddy</t>
  </si>
  <si>
    <t>Timesheet auto-saved but not submitted to manager</t>
  </si>
  <si>
    <t>TKT-1051</t>
  </si>
  <si>
    <t>EMP85243</t>
  </si>
  <si>
    <t>Sneha Anderson</t>
  </si>
  <si>
    <t>Work from home day not updated as present</t>
  </si>
  <si>
    <t>Flexi-time approval verified; late mark reversed successfully</t>
  </si>
  <si>
    <t>TKT-1052</t>
  </si>
  <si>
    <t>EMP29555</t>
  </si>
  <si>
    <t>Pooja Rao</t>
  </si>
  <si>
    <t>Emergency leave days not counted in balance</t>
  </si>
  <si>
    <t>TKT-1053</t>
  </si>
  <si>
    <t>EMP87139</t>
  </si>
  <si>
    <t>Noah Nair</t>
  </si>
  <si>
    <t>Biometric punch-in not recorded on Monday morning</t>
  </si>
  <si>
    <t>TKT-1054</t>
  </si>
  <si>
    <t>EMP10350</t>
  </si>
  <si>
    <t>Noah Lee</t>
  </si>
  <si>
    <t>TKT-1055</t>
  </si>
  <si>
    <t>EMP96662</t>
  </si>
  <si>
    <t>Pooja Moore</t>
  </si>
  <si>
    <t>Sick leave deducted incorrectly during approved vacation</t>
  </si>
  <si>
    <t>TKT-1056</t>
  </si>
  <si>
    <t>EMP67560</t>
  </si>
  <si>
    <t>Sophie Lee</t>
  </si>
  <si>
    <t>Shift schedule mismatch causing wrong attendance flag</t>
  </si>
  <si>
    <t>Biometric data retrieved from backup; attendance corrected</t>
  </si>
  <si>
    <t>TKT-1057</t>
  </si>
  <si>
    <t>EMP40005</t>
  </si>
  <si>
    <t>Kiran Pillai</t>
  </si>
  <si>
    <t>TKT-1058</t>
  </si>
  <si>
    <t>EMP21959</t>
  </si>
  <si>
    <t>Oliver Reddy</t>
  </si>
  <si>
    <t>Overtime hours not reflected in April salary</t>
  </si>
  <si>
    <t>Corrected salary computation after reviewing payroll inputs</t>
  </si>
  <si>
    <t>TKT-1059</t>
  </si>
  <si>
    <t>EMP51224</t>
  </si>
  <si>
    <t>Liam Miller</t>
  </si>
  <si>
    <t>Query on number of casual leaves allowed per quarter</t>
  </si>
  <si>
    <t>TKT-1060</t>
  </si>
  <si>
    <t>EMP16764</t>
  </si>
  <si>
    <t>David Davis</t>
  </si>
  <si>
    <t>TKT-1061</t>
  </si>
  <si>
    <t>EMP39451</t>
  </si>
  <si>
    <t>Henry Moore</t>
  </si>
  <si>
    <t>Business meal claim not approved by system</t>
  </si>
  <si>
    <t>Currency conversion error fixed; corrected amount reimbursed</t>
  </si>
  <si>
    <t>TKT-1062</t>
  </si>
  <si>
    <t>EMP28958</t>
  </si>
  <si>
    <t>Aisha Brown</t>
  </si>
  <si>
    <t>Unclear on work-from-home policy frequency limit</t>
  </si>
  <si>
    <t>Equipment return checklist shared; IT team notified</t>
  </si>
  <si>
    <t>TKT-1063</t>
  </si>
  <si>
    <t>EMP86011</t>
  </si>
  <si>
    <t>Kiran Anderson</t>
  </si>
  <si>
    <t>Rejection reason shared; employee guided to resubmit claim</t>
  </si>
  <si>
    <t>TKT-1064</t>
  </si>
  <si>
    <t>EMP40613</t>
  </si>
  <si>
    <t>Amira Bose</t>
  </si>
  <si>
    <t>Reimbursement claim under medical rejected without reason</t>
  </si>
  <si>
    <t>Enrollment deadline information shared; employee enrolled</t>
  </si>
  <si>
    <t>TKT-1065</t>
  </si>
  <si>
    <t>EMP53515</t>
  </si>
  <si>
    <t>Amira Johnson</t>
  </si>
  <si>
    <t>Mileage claim calculation showing wrong distance</t>
  </si>
  <si>
    <t>TKT-1066</t>
  </si>
  <si>
    <t>EMP91691</t>
  </si>
  <si>
    <t>Lucas Taylor</t>
  </si>
  <si>
    <t>Maternity policy eligibility criteria explained; query closed</t>
  </si>
  <si>
    <t>TKT-1067</t>
  </si>
  <si>
    <t>EMP92727</t>
  </si>
  <si>
    <t>Kiran Moore</t>
  </si>
  <si>
    <t>TKT-1068</t>
  </si>
  <si>
    <t>EMP52516</t>
  </si>
  <si>
    <t>Pooja Patel</t>
  </si>
  <si>
    <t>TKT-1069</t>
  </si>
  <si>
    <t>EMP75230</t>
  </si>
  <si>
    <t>Isla Rao</t>
  </si>
  <si>
    <t>TKT-1070</t>
  </si>
  <si>
    <t>EMP87014</t>
  </si>
  <si>
    <t>Sneha Iyer</t>
  </si>
  <si>
    <t>Life insurance sum assured showing wrong value</t>
  </si>
  <si>
    <t>Insurance sum assured corrected after policy data check</t>
  </si>
  <si>
    <t>TKT-1071</t>
  </si>
  <si>
    <t>EMP48696</t>
  </si>
  <si>
    <t>Arjun Pillai</t>
  </si>
  <si>
    <t>TKT-1072</t>
  </si>
  <si>
    <t>EMP93442</t>
  </si>
  <si>
    <t>David Jackson</t>
  </si>
  <si>
    <t>Account unlocked after identity verification; password reset done</t>
  </si>
  <si>
    <t>TKT-1073</t>
  </si>
  <si>
    <t>EMP48680</t>
  </si>
  <si>
    <t>Ravi Thompson</t>
  </si>
  <si>
    <t>Gratuity calculation basis not explained in handbook</t>
  </si>
  <si>
    <t>Gratuity calculation explained with example; employee satisfied</t>
  </si>
  <si>
    <t>TKT-1074</t>
  </si>
  <si>
    <t>EMP25095</t>
  </si>
  <si>
    <t>Deepika Khan</t>
  </si>
  <si>
    <t>Overtime pay rate document shared; payroll team confirmed rate</t>
  </si>
  <si>
    <t>TKT-1075</t>
  </si>
  <si>
    <t>EMP86619</t>
  </si>
  <si>
    <t>Aisha Pillai</t>
  </si>
  <si>
    <t>TKT-1076</t>
  </si>
  <si>
    <t>EMP95097</t>
  </si>
  <si>
    <t>Noah Johnson</t>
  </si>
  <si>
    <t>Compensatory off balance not visible in portal</t>
  </si>
  <si>
    <t>TKT-1077</t>
  </si>
  <si>
    <t>EMP64935</t>
  </si>
  <si>
    <t>Fatima Thompson</t>
  </si>
  <si>
    <t>Guided employee to re-submit expense with required documents</t>
  </si>
  <si>
    <t>TKT-1078</t>
  </si>
  <si>
    <t>EMP99873</t>
  </si>
  <si>
    <t>Emma Thomas</t>
  </si>
  <si>
    <t>TKT-1079</t>
  </si>
  <si>
    <t>EMP12799</t>
  </si>
  <si>
    <t>Priya White</t>
  </si>
  <si>
    <t>Maternity leave eligibility criteria not clear</t>
  </si>
  <si>
    <t>TKT-1080</t>
  </si>
  <si>
    <t>EMP10371</t>
  </si>
  <si>
    <t>Liam Harris</t>
  </si>
  <si>
    <t>Timesheet resubmitted by employee; approved by manager</t>
  </si>
  <si>
    <t>TKT-1081</t>
  </si>
  <si>
    <t>EMP16868</t>
  </si>
  <si>
    <t>TKT-1082</t>
  </si>
  <si>
    <t>EMP49535</t>
  </si>
  <si>
    <t>Deepika Iyer</t>
  </si>
  <si>
    <t>TKT-1083</t>
  </si>
  <si>
    <t>EMP26540</t>
  </si>
  <si>
    <t>Liam Jackson</t>
  </si>
  <si>
    <t>TKT-1084</t>
  </si>
  <si>
    <t>EMP38183</t>
  </si>
  <si>
    <t>TKT-1085</t>
  </si>
  <si>
    <t>EMP18799</t>
  </si>
  <si>
    <t>Mohammed Pillai</t>
  </si>
  <si>
    <t>TKT-1086</t>
  </si>
  <si>
    <t>EMP16743</t>
  </si>
  <si>
    <t>Sneha Jackson</t>
  </si>
  <si>
    <t>Dental plan not reflecting under my benefits tab</t>
  </si>
  <si>
    <t>Dependent added after receiving required document submission</t>
  </si>
  <si>
    <t>TKT-1087</t>
  </si>
  <si>
    <t>EMP66244</t>
  </si>
  <si>
    <t>Amira Thomas</t>
  </si>
  <si>
    <t>TKT-1088</t>
  </si>
  <si>
    <t>EMP56009</t>
  </si>
  <si>
    <t>TKT-1089</t>
  </si>
  <si>
    <t>EMP52517</t>
  </si>
  <si>
    <t>William Rao</t>
  </si>
  <si>
    <t>TKT-1090</t>
  </si>
  <si>
    <t>EMP24918</t>
  </si>
  <si>
    <t>Emma Kumar</t>
  </si>
  <si>
    <t>TKT-1091</t>
  </si>
  <si>
    <t>EMP43491</t>
  </si>
  <si>
    <t>Sneha Miller</t>
  </si>
  <si>
    <t>TKT-1092</t>
  </si>
  <si>
    <t>EMP67176</t>
  </si>
  <si>
    <t>Arjun Lee</t>
  </si>
  <si>
    <t>Expense report approved but amount not credited</t>
  </si>
  <si>
    <t>Finance team traced payment; credited within 2 working days</t>
  </si>
  <si>
    <t>TKT-1093</t>
  </si>
  <si>
    <t>EMP70305</t>
  </si>
  <si>
    <t>Henry Desai</t>
  </si>
  <si>
    <t>TKT-1094</t>
  </si>
  <si>
    <t>EMP20011</t>
  </si>
  <si>
    <t>Meera Iyer</t>
  </si>
  <si>
    <t>Swipe data missing for entire last week</t>
  </si>
  <si>
    <t>TKT-1095</t>
  </si>
  <si>
    <t>EMP33218</t>
  </si>
  <si>
    <t>Access updated in Active Directory to reflect new role</t>
  </si>
  <si>
    <t>TKT-1096</t>
  </si>
  <si>
    <t>EMP18950</t>
  </si>
  <si>
    <t>Oliver Lee</t>
  </si>
  <si>
    <t>TKT-1097</t>
  </si>
  <si>
    <t>EMP90610</t>
  </si>
  <si>
    <t>Rohan Mehta</t>
  </si>
  <si>
    <t>Attendance marked absent on a day employee was present</t>
  </si>
  <si>
    <t>TKT-1098</t>
  </si>
  <si>
    <t>EMP55015</t>
  </si>
  <si>
    <t>Lucas Khan</t>
  </si>
  <si>
    <t>TKT-1099</t>
  </si>
  <si>
    <t>EMP98984</t>
  </si>
  <si>
    <t>Rohan Patel</t>
  </si>
  <si>
    <t>Tax configuration corrected; revised slip issued to employee</t>
  </si>
  <si>
    <t>TKT-1100</t>
  </si>
  <si>
    <t>EMP20682</t>
  </si>
  <si>
    <t>Fatima Martin</t>
  </si>
  <si>
    <t>Shift schedule corrected; attendance recalculated accurately</t>
  </si>
  <si>
    <t>Root Cause</t>
  </si>
  <si>
    <t>Action Taken</t>
  </si>
  <si>
    <t>Escalated To</t>
  </si>
  <si>
    <t>Resolution Outcome</t>
  </si>
  <si>
    <t>TAT Met (Yes/No)</t>
  </si>
  <si>
    <t>Carry-forward rule not applied</t>
  </si>
  <si>
    <t>Checked attendance log</t>
  </si>
  <si>
    <t>Resolved - no further action needed</t>
  </si>
  <si>
    <t>Annual reset not triggered</t>
  </si>
  <si>
    <t>Corrected leave entry</t>
  </si>
  <si>
    <t>HR Operations</t>
  </si>
  <si>
    <t>Closed after employee confirmation</t>
  </si>
  <si>
    <t>Eligibility rule error</t>
  </si>
  <si>
    <t>Closed ticket after confirmation</t>
  </si>
  <si>
    <t>Payroll Team</t>
  </si>
  <si>
    <t>Incorrect leave entry</t>
  </si>
  <si>
    <t>N/A</t>
  </si>
  <si>
    <t>Resolved and closed</t>
  </si>
  <si>
    <t>Ambiguous policy language</t>
  </si>
  <si>
    <t>Shared policy document via email</t>
  </si>
  <si>
    <t>System sync issue</t>
  </si>
  <si>
    <t>Checked bank details and payment logs</t>
  </si>
  <si>
    <t>Missing receipts</t>
  </si>
  <si>
    <t>Checked finance reimbursement status</t>
  </si>
  <si>
    <t>OTP delivery failure</t>
  </si>
  <si>
    <t>Verified employee identity</t>
  </si>
  <si>
    <t>Enrollment not submitted</t>
  </si>
  <si>
    <t>Shared resolution ETA with employee</t>
  </si>
  <si>
    <t>Reset portal password</t>
  </si>
  <si>
    <t>Policy document not accessible</t>
  </si>
  <si>
    <t>Escalated and closed</t>
  </si>
  <si>
    <t>Guided employee on resubmission</t>
  </si>
  <si>
    <t>Verified eligibility criteria</t>
  </si>
  <si>
    <t>Access not provisioned</t>
  </si>
  <si>
    <t>Provisioned system access</t>
  </si>
  <si>
    <t>Verified expense claim details</t>
  </si>
  <si>
    <t>Pending verification</t>
  </si>
  <si>
    <t>Payroll configuration error</t>
  </si>
  <si>
    <t>Missing OT data</t>
  </si>
  <si>
    <t>Biometric failure</t>
  </si>
  <si>
    <t>Checked biometric/swipe data</t>
  </si>
  <si>
    <t>Duplicate deduction entry</t>
  </si>
  <si>
    <t>Informed employee of revised timeline</t>
  </si>
  <si>
    <t>Escalated to finance ops</t>
  </si>
  <si>
    <t>Portal configuration issue</t>
  </si>
  <si>
    <t>Checked enrollment status in system</t>
  </si>
  <si>
    <t>Escalated to HR operations</t>
  </si>
  <si>
    <t>Role mismatch in system</t>
  </si>
  <si>
    <t>Coordinated with IT helpdesk</t>
  </si>
  <si>
    <t>Escalated to benefits team</t>
  </si>
  <si>
    <t>Confirmed login and closed ticket</t>
  </si>
  <si>
    <t>Looped in HR BP for complex cases</t>
  </si>
  <si>
    <t>Escalated to HR ops for manual update</t>
  </si>
  <si>
    <t>Incorrect tax bracket applied</t>
  </si>
  <si>
    <t>Verified payroll cycle status</t>
  </si>
  <si>
    <t>Raised correction ticket with payroll team</t>
  </si>
  <si>
    <t>Corrected attendance entry in HRMS</t>
  </si>
  <si>
    <t>New employee onboarding gap</t>
  </si>
  <si>
    <t>Clarified policy with HR compliance</t>
  </si>
  <si>
    <t>Finance process delay</t>
  </si>
  <si>
    <t>Bank processing delay</t>
  </si>
  <si>
    <t>Policy recently updated</t>
  </si>
  <si>
    <t>Incorrect shift mapped</t>
  </si>
  <si>
    <t>Attendance mismatch</t>
  </si>
  <si>
    <t>WFH not updated in HRMS</t>
  </si>
  <si>
    <t>Escalated to IT for system sync</t>
  </si>
  <si>
    <t>Reviewed applicable policy document</t>
  </si>
  <si>
    <t>Policy non-compliance</t>
  </si>
  <si>
    <t>Timesheet not submitted</t>
  </si>
  <si>
    <t>Confirmed reimbursement and closed</t>
  </si>
  <si>
    <t>HR Business Partner</t>
  </si>
  <si>
    <t>Benefits Provider</t>
  </si>
  <si>
    <t>FX conversion issue</t>
  </si>
  <si>
    <t>Account locked by policy</t>
  </si>
  <si>
    <t>Standard Operating Procedures (SOP) — CIC Query Resolution</t>
  </si>
  <si>
    <t>Step 1</t>
  </si>
  <si>
    <t>Step 2</t>
  </si>
  <si>
    <t>Step 3</t>
  </si>
  <si>
    <t>Step 4</t>
  </si>
  <si>
    <t>Step 5</t>
  </si>
  <si>
    <t>Verify employee ID and payroll period</t>
  </si>
  <si>
    <t>Check payroll cycle run status in system</t>
  </si>
  <si>
    <t>Validate bank account and payment details</t>
  </si>
  <si>
    <t>Escalate to payroll ops if payment failed or delayed</t>
  </si>
  <si>
    <t>Inform employee of resolution and close ticket</t>
  </si>
  <si>
    <t>Check employee's leave policy and entitlement</t>
  </si>
  <si>
    <t>Review attendance and leave entries in HRMS</t>
  </si>
  <si>
    <t>Identify and correct any mismatch in records</t>
  </si>
  <si>
    <t>Confirm updated leave balance with employee</t>
  </si>
  <si>
    <t>Close query after employee acknowledgement</t>
  </si>
  <si>
    <t>Check employee's enrollment status in benefits portal</t>
  </si>
  <si>
    <t>Verify eligibility based on grade and tenure</t>
  </si>
  <si>
    <t>Review policy effective dates and plan details</t>
  </si>
  <si>
    <t>Escalate to benefits team if correction needed</t>
  </si>
  <si>
    <t>Share resolution update and close ticket</t>
  </si>
  <si>
    <t>Verify expense claim details and receipts submitted</t>
  </si>
  <si>
    <t>Check finance reimbursement processing status</t>
  </si>
  <si>
    <t>Guide employee to resubmit with correct documents if rejected</t>
  </si>
  <si>
    <t>Escalate to finance ops for delayed reimbursements</t>
  </si>
  <si>
    <t>Confirm payment receipt and close ticket</t>
  </si>
  <si>
    <t>Verify employee identity via employee ID and email</t>
  </si>
  <si>
    <t>Attempt password reset or account unlock</t>
  </si>
  <si>
    <t>Escalate to IT helpdesk if issue persists beyond L1</t>
  </si>
  <si>
    <t>Confirm new access credentials work correctly</t>
  </si>
  <si>
    <t>Log resolution and close ticket</t>
  </si>
  <si>
    <t>Identify the specific policy area in question</t>
  </si>
  <si>
    <t>Review the relevant HR policy document</t>
  </si>
  <si>
    <t>Clarify policy with HR compliance or HR BP if needed</t>
  </si>
  <si>
    <t>Share the policy document and explanation with employee</t>
  </si>
  <si>
    <t>Close ticket after confirming employee understanding</t>
  </si>
  <si>
    <t>Retrieve attendance records from HRMS or biometric system</t>
  </si>
  <si>
    <t>Cross-check with manager approvals and shift schedule</t>
  </si>
  <si>
    <t>Correct attendance entry with appropriate approvals</t>
  </si>
  <si>
    <t>Escalate to IT if system sync or biometric data missing</t>
  </si>
  <si>
    <t>Confirm correction with employee and close query</t>
  </si>
  <si>
    <t>📊  Customer Query Resolution — Dashboard</t>
  </si>
  <si>
    <t>Total Tickets</t>
  </si>
  <si>
    <t>Resolved Tickets</t>
  </si>
  <si>
    <t>Escalated Tickets</t>
  </si>
  <si>
    <t>Avg Resolution (hrs)</t>
  </si>
  <si>
    <t>High Priority Tickets</t>
  </si>
  <si>
    <t>Satisfaction Rate (%)</t>
  </si>
  <si>
    <t>Tickets by Query Type</t>
  </si>
  <si>
    <t>Tickets by Channel</t>
  </si>
  <si>
    <t>Status Distribution</t>
  </si>
  <si>
    <t>Count</t>
  </si>
  <si>
    <t>Channel</t>
  </si>
  <si>
    <t>Region-wise Ticket Volume</t>
  </si>
  <si>
    <t>Escalations by Query Type</t>
  </si>
  <si>
    <t>Avg Resolution Time by Query Type (hrs)</t>
  </si>
  <si>
    <t>Avg Hrs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</si>
</sst>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.0"/>
    <numFmt numFmtId="166" formatCode="0.0\%"/>
  </numFmts>
  <fonts count="17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FFFFFF"/>
      <name val="Arial"/>
      <charset val="1"/>
    </font>
    <font>
      <b/>
      <sz val="10"/>
      <color rgb="FF1F4E79"/>
      <name val="Arial"/>
      <charset val="1"/>
    </font>
    <font>
      <sz val="10"/>
      <color rgb="FF000000"/>
      <name val="Arial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b/>
      <sz val="20"/>
      <color rgb="FF4472C4"/>
      <name val="Arial"/>
      <charset val="1"/>
    </font>
    <font>
      <b/>
      <sz val="20"/>
      <color rgb="FF70AD47"/>
      <name val="Arial"/>
      <charset val="1"/>
    </font>
    <font>
      <b/>
      <sz val="20"/>
      <color rgb="FFFF0000"/>
      <name val="Arial"/>
      <charset val="1"/>
    </font>
    <font>
      <b/>
      <sz val="20"/>
      <color rgb="FFED7D31"/>
      <name val="Arial"/>
      <charset val="1"/>
    </font>
    <font>
      <b/>
      <sz val="20"/>
      <color rgb="FFA9D18E"/>
      <name val="Arial"/>
      <charset val="1"/>
    </font>
    <font>
      <b/>
      <sz val="20"/>
      <color rgb="FF2E75B6"/>
      <name val="Arial"/>
      <charset val="1"/>
    </font>
    <font>
      <b/>
      <sz val="11"/>
      <color rgb="FF1F4E79"/>
      <name val="Arial"/>
      <charset val="1"/>
    </font>
    <font>
      <b/>
      <sz val="11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rgb="FF1F4E79"/>
        <bgColor rgb="FF14375E"/>
      </patternFill>
    </fill>
    <fill>
      <patternFill patternType="solid">
        <fgColor rgb="FFEBF3FB"/>
        <bgColor rgb="FFE8F0FE"/>
      </patternFill>
    </fill>
    <fill>
      <patternFill patternType="solid">
        <fgColor rgb="FFFFD966"/>
        <bgColor rgb="FFFFE699"/>
      </patternFill>
    </fill>
    <fill>
      <patternFill patternType="solid">
        <fgColor rgb="FFBDD7EE"/>
        <bgColor rgb="FFC5DDEF"/>
      </patternFill>
    </fill>
    <fill>
      <patternFill patternType="solid">
        <fgColor rgb="FFFFFFFF"/>
        <bgColor rgb="FFF9F9F9"/>
      </patternFill>
    </fill>
    <fill>
      <patternFill patternType="solid">
        <fgColor rgb="FF92D050"/>
        <bgColor rgb="FF9BBB59"/>
      </patternFill>
    </fill>
    <fill>
      <patternFill patternType="solid">
        <fgColor rgb="FFC6EFCE"/>
        <bgColor rgb="FFD6E4F0"/>
      </patternFill>
    </fill>
    <fill>
      <patternFill patternType="solid">
        <fgColor rgb="FFFFE699"/>
        <bgColor rgb="FFFFD966"/>
      </patternFill>
    </fill>
    <fill>
      <patternFill patternType="solid">
        <fgColor rgb="FFFF4C4C"/>
        <bgColor rgb="FFC0504D"/>
      </patternFill>
    </fill>
    <fill>
      <patternFill patternType="solid">
        <fgColor rgb="FFF4CCCC"/>
        <bgColor rgb="FFD9D9D9"/>
      </patternFill>
    </fill>
    <fill>
      <patternFill patternType="solid">
        <fgColor rgb="FF14375E"/>
        <bgColor rgb="FF1F4E79"/>
      </patternFill>
    </fill>
    <fill>
      <patternFill patternType="solid">
        <fgColor rgb="FFE8F0FE"/>
        <bgColor rgb="FFEBF3FB"/>
      </patternFill>
    </fill>
    <fill>
      <patternFill patternType="solid">
        <fgColor rgb="FF2E75B6"/>
        <bgColor rgb="FF4472C4"/>
      </patternFill>
    </fill>
    <fill>
      <patternFill patternType="solid">
        <fgColor rgb="FFD9E9F7"/>
        <bgColor rgb="FFD6E4F0"/>
      </patternFill>
    </fill>
    <fill>
      <patternFill patternType="solid">
        <fgColor rgb="FFC5DDEF"/>
        <bgColor rgb="FFBDD7EE"/>
      </patternFill>
    </fill>
    <fill>
      <patternFill patternType="solid">
        <fgColor rgb="FFB0D0E8"/>
        <bgColor rgb="FFBDD7EE"/>
      </patternFill>
    </fill>
    <fill>
      <patternFill patternType="solid">
        <fgColor rgb="FF9BC2E0"/>
        <bgColor rgb="FFB0D0E8"/>
      </patternFill>
    </fill>
    <fill>
      <patternFill patternType="solid">
        <fgColor rgb="FF87B3D7"/>
        <bgColor rgb="FF9BC2E0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9BBB59"/>
      </patternFill>
    </fill>
    <fill>
      <patternFill patternType="solid">
        <fgColor rgb="FFFF0000"/>
        <bgColor rgb="FFFF4C4C"/>
      </patternFill>
    </fill>
    <fill>
      <patternFill patternType="solid">
        <fgColor rgb="FFED7D31"/>
        <bgColor rgb="FFFF4C4C"/>
      </patternFill>
    </fill>
    <fill>
      <patternFill patternType="solid">
        <fgColor rgb="FFA9D18E"/>
        <bgColor rgb="FF92D050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D9E9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166" fontId="14" fillId="25" borderId="0" xfId="0" applyNumberFormat="1" applyFont="1" applyFill="1" applyBorder="1" applyAlignment="1">
      <alignment horizontal="center" vertical="center"/>
    </xf>
    <xf numFmtId="0" fontId="13" fillId="25" borderId="0" xfId="0" applyFont="1" applyFill="1" applyBorder="1" applyAlignment="1">
      <alignment horizontal="center" vertical="center"/>
    </xf>
    <xf numFmtId="0" fontId="12" fillId="25" borderId="0" xfId="0" applyFont="1" applyFill="1" applyBorder="1" applyAlignment="1">
      <alignment horizontal="center" vertical="center"/>
    </xf>
    <xf numFmtId="0" fontId="11" fillId="25" borderId="0" xfId="0" applyFont="1" applyFill="1" applyBorder="1" applyAlignment="1">
      <alignment horizontal="center" vertical="center"/>
    </xf>
    <xf numFmtId="0" fontId="10" fillId="25" borderId="0" xfId="0" applyFont="1" applyFill="1" applyBorder="1" applyAlignment="1">
      <alignment horizontal="center" vertical="center"/>
    </xf>
    <xf numFmtId="0" fontId="9" fillId="25" borderId="0" xfId="0" applyFont="1" applyFill="1" applyBorder="1" applyAlignment="1">
      <alignment horizontal="center" vertical="center"/>
    </xf>
    <xf numFmtId="0" fontId="8" fillId="14" borderId="0" xfId="0" applyFont="1" applyFill="1" applyBorder="1" applyAlignment="1">
      <alignment horizontal="center" vertical="center"/>
    </xf>
    <xf numFmtId="0" fontId="8" fillId="24" borderId="0" xfId="0" applyFont="1" applyFill="1" applyBorder="1" applyAlignment="1">
      <alignment horizontal="center" vertical="center"/>
    </xf>
    <xf numFmtId="0" fontId="8" fillId="23" borderId="0" xfId="0" applyFont="1" applyFill="1" applyBorder="1" applyAlignment="1">
      <alignment horizontal="center" vertical="center"/>
    </xf>
    <xf numFmtId="0" fontId="8" fillId="22" borderId="0" xfId="0" applyFont="1" applyFill="1" applyBorder="1" applyAlignment="1">
      <alignment horizontal="center" vertical="center"/>
    </xf>
    <xf numFmtId="0" fontId="8" fillId="21" borderId="0" xfId="0" applyFont="1" applyFill="1" applyBorder="1" applyAlignment="1">
      <alignment horizontal="center" vertical="center"/>
    </xf>
    <xf numFmtId="0" fontId="8" fillId="2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15" fillId="26" borderId="0" xfId="0" applyFont="1" applyFill="1"/>
    <xf numFmtId="0" fontId="0" fillId="26" borderId="0" xfId="0" applyFill="1"/>
    <xf numFmtId="0" fontId="15" fillId="0" borderId="0" xfId="0" applyFont="1"/>
    <xf numFmtId="0" fontId="16" fillId="0" borderId="0" xfId="0" applyFont="1"/>
    <xf numFmtId="0" fontId="0" fillId="20" borderId="0" xfId="0" applyFill="1" applyBorder="1"/>
    <xf numFmtId="0" fontId="0" fillId="21" borderId="0" xfId="0" applyFill="1" applyBorder="1"/>
    <xf numFmtId="0" fontId="0" fillId="22" borderId="0" xfId="0" applyFill="1" applyBorder="1"/>
    <xf numFmtId="0" fontId="0" fillId="23" borderId="0" xfId="0" applyFill="1" applyBorder="1"/>
    <xf numFmtId="0" fontId="0" fillId="24" borderId="0" xfId="0" applyFill="1" applyBorder="1"/>
    <xf numFmtId="0" fontId="0" fillId="14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EBF3FB"/>
      <rgbColor rgb="FF800000"/>
      <rgbColor rgb="FF008000"/>
      <rgbColor rgb="FF000080"/>
      <rgbColor rgb="FF70AD47"/>
      <rgbColor rgb="FF800080"/>
      <rgbColor rgb="FF008080"/>
      <rgbColor rgb="FFCCCCCC"/>
      <rgbColor rgb="FF878787"/>
      <rgbColor rgb="FF87B3D7"/>
      <rgbColor rgb="FFC0504D"/>
      <rgbColor rgb="FFF9F9F9"/>
      <rgbColor rgb="FFD9E9F7"/>
      <rgbColor rgb="FF660066"/>
      <rgbColor rgb="FFFF4C4C"/>
      <rgbColor rgb="FF2E75B6"/>
      <rgbColor rgb="FFBDD7EE"/>
      <rgbColor rgb="FF000080"/>
      <rgbColor rgb="FFFF00FF"/>
      <rgbColor rgb="FFA9D18E"/>
      <rgbColor rgb="FFF2F2F2"/>
      <rgbColor rgb="FF800080"/>
      <rgbColor rgb="FF800000"/>
      <rgbColor rgb="FF008080"/>
      <rgbColor rgb="FF0000FF"/>
      <rgbColor rgb="FFD6E4F0"/>
      <rgbColor rgb="FFE8F0FE"/>
      <rgbColor rgb="FFC6EFCE"/>
      <rgbColor rgb="FFFFE699"/>
      <rgbColor rgb="FF9BC2E0"/>
      <rgbColor rgb="FFD9D9D9"/>
      <rgbColor rgb="FFB0D0E8"/>
      <rgbColor rgb="FFF4CCCC"/>
      <rgbColor rgb="FF4472C4"/>
      <rgbColor rgb="FF4BACC6"/>
      <rgbColor rgb="FF92D050"/>
      <rgbColor rgb="FFFFC000"/>
      <rgbColor rgb="FFC5DDEF"/>
      <rgbColor rgb="FFED7D31"/>
      <rgbColor rgb="FF8064A2"/>
      <rgbColor rgb="FF9BBB59"/>
      <rgbColor rgb="FF14375E"/>
      <rgbColor rgb="FF4F81BD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Tickets by Query Type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Dashboard!$A$9:$A$15</c:f>
              <c:strCache>
                <c:ptCount val="7"/>
                <c:pt idx="0">
                  <c:v>Payroll</c:v>
                </c:pt>
                <c:pt idx="1">
                  <c:v>Leave Balance</c:v>
                </c:pt>
                <c:pt idx="2">
                  <c:v>Benefits</c:v>
                </c:pt>
                <c:pt idx="3">
                  <c:v>Time &amp; Expense</c:v>
                </c:pt>
                <c:pt idx="4">
                  <c:v>Login Access</c:v>
                </c:pt>
                <c:pt idx="5">
                  <c:v>Policy Clarification</c:v>
                </c:pt>
                <c:pt idx="6">
                  <c:v>Attendance Issue</c:v>
                </c:pt>
              </c:strCache>
            </c:strRef>
          </c:cat>
          <c:val>
            <c:numRef>
              <c:f>Dashboard!$B$9:$B$15</c:f>
              <c:numCache>
                <c:formatCode>General</c:formatCode>
                <c:ptCount val="7"/>
                <c:pt idx="0">
                  <c:v>22</c:v>
                </c:pt>
                <c:pt idx="1">
                  <c:v>15</c:v>
                </c:pt>
                <c:pt idx="2">
                  <c:v>12</c:v>
                </c:pt>
                <c:pt idx="3">
                  <c:v>18</c:v>
                </c:pt>
                <c:pt idx="4">
                  <c:v>11</c:v>
                </c:pt>
                <c:pt idx="5">
                  <c:v>13</c:v>
                </c:pt>
                <c:pt idx="6">
                  <c:v>9</c:v>
                </c:pt>
              </c:numCache>
            </c:numRef>
          </c:val>
        </c:ser>
        <c:axId val="120225152"/>
        <c:axId val="120251520"/>
      </c:barChart>
      <c:catAx>
        <c:axId val="12022515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251520"/>
        <c:crosses val="autoZero"/>
        <c:auto val="1"/>
        <c:lblAlgn val="ctr"/>
        <c:lblOffset val="100"/>
      </c:catAx>
      <c:valAx>
        <c:axId val="120251520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225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Tickets by Channel</a:t>
            </a:r>
          </a:p>
        </c:rich>
      </c:tx>
      <c:layout/>
      <c:spPr>
        <a:noFill/>
        <a:ln w="0">
          <a:noFill/>
        </a:ln>
      </c:spPr>
    </c:title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cat>
            <c:strRef>
              <c:f>Dashboard!$D$9:$D$13</c:f>
              <c:strCache>
                <c:ptCount val="5"/>
                <c:pt idx="0">
                  <c:v>Call</c:v>
                </c:pt>
                <c:pt idx="1">
                  <c:v>Email</c:v>
                </c:pt>
                <c:pt idx="2">
                  <c:v>Chat</c:v>
                </c:pt>
                <c:pt idx="3">
                  <c:v>Webform</c:v>
                </c:pt>
                <c:pt idx="4">
                  <c:v>Voicemail</c:v>
                </c:pt>
              </c:strCache>
            </c:strRef>
          </c:cat>
          <c:val>
            <c:numRef>
              <c:f>Dashboard!$E$9:$E$13</c:f>
              <c:numCache>
                <c:formatCode>General</c:formatCode>
                <c:ptCount val="5"/>
                <c:pt idx="0">
                  <c:v>32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Status Distribution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Dashboard!$G$9:$G$12</c:f>
              <c:strCache>
                <c:ptCount val="4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  <c:pt idx="3">
                  <c:v>Escalated</c:v>
                </c:pt>
              </c:strCache>
            </c:strRef>
          </c:cat>
          <c:val>
            <c:numRef>
              <c:f>Dashboard!$H$9:$H$12</c:f>
              <c:numCache>
                <c:formatCode>General</c:formatCode>
                <c:ptCount val="4"/>
                <c:pt idx="0">
                  <c:v>13</c:v>
                </c:pt>
                <c:pt idx="1">
                  <c:v>14</c:v>
                </c:pt>
                <c:pt idx="2">
                  <c:v>55</c:v>
                </c:pt>
                <c:pt idx="3">
                  <c:v>18</c:v>
                </c:pt>
              </c:numCache>
            </c:numRef>
          </c:val>
        </c:ser>
        <c:axId val="122105856"/>
        <c:axId val="122107392"/>
      </c:barChart>
      <c:catAx>
        <c:axId val="12210585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107392"/>
        <c:crosses val="autoZero"/>
        <c:auto val="1"/>
        <c:lblAlgn val="ctr"/>
        <c:lblOffset val="100"/>
      </c:catAx>
      <c:valAx>
        <c:axId val="12210739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105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Region-wise Ticket Volume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Dashboard!$A$19:$A$22</c:f>
              <c:strCache>
                <c:ptCount val="4"/>
                <c:pt idx="0">
                  <c:v>India</c:v>
                </c:pt>
                <c:pt idx="1">
                  <c:v>US</c:v>
                </c:pt>
                <c:pt idx="2">
                  <c:v>UK</c:v>
                </c:pt>
                <c:pt idx="3">
                  <c:v>APAC</c:v>
                </c:pt>
              </c:strCache>
            </c:strRef>
          </c:cat>
          <c:val>
            <c:numRef>
              <c:f>Dashboard!$B$19:$B$22</c:f>
              <c:numCache>
                <c:formatCode>General</c:formatCode>
                <c:ptCount val="4"/>
                <c:pt idx="0">
                  <c:v>33</c:v>
                </c:pt>
                <c:pt idx="1">
                  <c:v>19</c:v>
                </c:pt>
                <c:pt idx="2">
                  <c:v>24</c:v>
                </c:pt>
                <c:pt idx="3">
                  <c:v>24</c:v>
                </c:pt>
              </c:numCache>
            </c:numRef>
          </c:val>
        </c:ser>
        <c:axId val="122144640"/>
        <c:axId val="122146176"/>
      </c:barChart>
      <c:catAx>
        <c:axId val="12214464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146176"/>
        <c:crosses val="autoZero"/>
        <c:auto val="1"/>
        <c:lblAlgn val="ctr"/>
        <c:lblOffset val="100"/>
      </c:catAx>
      <c:valAx>
        <c:axId val="12214617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1446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Escalation Count by Query Type</a:t>
            </a:r>
          </a:p>
        </c:rich>
      </c:tx>
      <c:layout/>
      <c:spPr>
        <a:noFill/>
        <a:ln w="0">
          <a:noFill/>
        </a:ln>
      </c:spPr>
    </c:title>
    <c:plotArea>
      <c:layout>
        <c:manualLayout>
          <c:layoutTarget val="inner"/>
          <c:xMode val="edge"/>
          <c:yMode val="edge"/>
          <c:x val="4.0940636750429596E-2"/>
          <c:y val="0.14400343940576318"/>
          <c:w val="0.82171796432625055"/>
          <c:h val="0.73460336040540675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FF000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Dashboard!$D$19:$D$25</c:f>
              <c:strCache>
                <c:ptCount val="7"/>
                <c:pt idx="0">
                  <c:v>Payroll</c:v>
                </c:pt>
                <c:pt idx="1">
                  <c:v>Leave Balance</c:v>
                </c:pt>
                <c:pt idx="2">
                  <c:v>Benefits</c:v>
                </c:pt>
                <c:pt idx="3">
                  <c:v>Time &amp; Expense</c:v>
                </c:pt>
                <c:pt idx="4">
                  <c:v>Login Access</c:v>
                </c:pt>
                <c:pt idx="5">
                  <c:v>Policy Clarification</c:v>
                </c:pt>
                <c:pt idx="6">
                  <c:v>Attendance Issue</c:v>
                </c:pt>
              </c:strCache>
            </c:strRef>
          </c:cat>
          <c:val>
            <c:numRef>
              <c:f>Dashboard!$E$19:$E$25</c:f>
              <c:numCache>
                <c:formatCode>General</c:formatCode>
                <c:ptCount val="7"/>
                <c:pt idx="0">
                  <c:v>8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</c:ser>
        <c:axId val="121991168"/>
        <c:axId val="121992704"/>
      </c:barChart>
      <c:catAx>
        <c:axId val="12199116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992704"/>
        <c:crosses val="autoZero"/>
        <c:auto val="1"/>
        <c:lblAlgn val="ctr"/>
        <c:lblOffset val="100"/>
      </c:catAx>
      <c:valAx>
        <c:axId val="12199270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991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Resolution Time by Query Type (hrs)</a:t>
            </a:r>
          </a:p>
        </c:rich>
      </c:tx>
      <c:layout/>
      <c:spPr>
        <a:noFill/>
        <a:ln w="0">
          <a:noFill/>
        </a:ln>
      </c:spPr>
    </c:title>
    <c:plotArea>
      <c:layout>
        <c:manualLayout>
          <c:layoutTarget val="inner"/>
          <c:xMode val="edge"/>
          <c:yMode val="edge"/>
          <c:x val="5.11290245874352E-2"/>
          <c:y val="2.1649228783105486E-2"/>
          <c:w val="0.8477647786179674"/>
          <c:h val="0.80189817624786841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cat>
            <c:strRef>
              <c:f>Dashboard!$G$19:$G$25</c:f>
              <c:strCache>
                <c:ptCount val="7"/>
                <c:pt idx="0">
                  <c:v>Payroll</c:v>
                </c:pt>
                <c:pt idx="1">
                  <c:v>Leave Balance</c:v>
                </c:pt>
                <c:pt idx="2">
                  <c:v>Benefits</c:v>
                </c:pt>
                <c:pt idx="3">
                  <c:v>Time &amp; Expense</c:v>
                </c:pt>
                <c:pt idx="4">
                  <c:v>Login Access</c:v>
                </c:pt>
                <c:pt idx="5">
                  <c:v>Policy Clarification</c:v>
                </c:pt>
                <c:pt idx="6">
                  <c:v>Attendance Issue</c:v>
                </c:pt>
              </c:strCache>
            </c:strRef>
          </c:cat>
          <c:val>
            <c:numRef>
              <c:f>Dashboard!$H$19:$H$25</c:f>
              <c:numCache>
                <c:formatCode>General</c:formatCode>
                <c:ptCount val="7"/>
                <c:pt idx="0">
                  <c:v>29.1</c:v>
                </c:pt>
                <c:pt idx="1">
                  <c:v>31.7</c:v>
                </c:pt>
                <c:pt idx="2">
                  <c:v>29.8</c:v>
                </c:pt>
                <c:pt idx="3">
                  <c:v>25.2</c:v>
                </c:pt>
                <c:pt idx="4">
                  <c:v>34.6</c:v>
                </c:pt>
                <c:pt idx="5">
                  <c:v>28.6</c:v>
                </c:pt>
                <c:pt idx="6">
                  <c:v>33.4</c:v>
                </c:pt>
              </c:numCache>
            </c:numRef>
          </c:val>
        </c:ser>
        <c:axId val="123803520"/>
        <c:axId val="123805056"/>
      </c:barChart>
      <c:catAx>
        <c:axId val="12380352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805056"/>
        <c:crosses val="autoZero"/>
        <c:auto val="1"/>
        <c:lblAlgn val="ctr"/>
        <c:lblOffset val="100"/>
      </c:catAx>
      <c:valAx>
        <c:axId val="12380505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803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45720</xdr:rowOff>
    </xdr:from>
    <xdr:to>
      <xdr:col>10</xdr:col>
      <xdr:colOff>136080</xdr:colOff>
      <xdr:row>47</xdr:row>
      <xdr:rowOff>174240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198120</xdr:colOff>
      <xdr:row>17</xdr:row>
      <xdr:rowOff>114300</xdr:rowOff>
    </xdr:from>
    <xdr:to>
      <xdr:col>21</xdr:col>
      <xdr:colOff>266700</xdr:colOff>
      <xdr:row>42</xdr:row>
      <xdr:rowOff>175260</xdr:rowOff>
    </xdr:to>
    <xdr:graphicFrame macro="">
      <xdr:nvGraphicFramePr>
        <xdr:cNvPr id="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76200</xdr:rowOff>
    </xdr:from>
    <xdr:to>
      <xdr:col>10</xdr:col>
      <xdr:colOff>136080</xdr:colOff>
      <xdr:row>71</xdr:row>
      <xdr:rowOff>21840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198120</xdr:colOff>
      <xdr:row>43</xdr:row>
      <xdr:rowOff>137160</xdr:rowOff>
    </xdr:from>
    <xdr:to>
      <xdr:col>20</xdr:col>
      <xdr:colOff>516900</xdr:colOff>
      <xdr:row>66</xdr:row>
      <xdr:rowOff>82800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65</xdr:row>
      <xdr:rowOff>175260</xdr:rowOff>
    </xdr:from>
    <xdr:to>
      <xdr:col>10</xdr:col>
      <xdr:colOff>136080</xdr:colOff>
      <xdr:row>88</xdr:row>
      <xdr:rowOff>120900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213360</xdr:colOff>
      <xdr:row>66</xdr:row>
      <xdr:rowOff>129540</xdr:rowOff>
    </xdr:from>
    <xdr:to>
      <xdr:col>20</xdr:col>
      <xdr:colOff>532140</xdr:colOff>
      <xdr:row>89</xdr:row>
      <xdr:rowOff>75180</xdr:rowOff>
    </xdr:to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P101"/>
  <sheetViews>
    <sheetView topLeftCell="H1" workbookViewId="0">
      <pane ySplit="1" topLeftCell="A66" activePane="bottomLeft" state="frozen"/>
      <selection pane="bottomLeft" sqref="A1:P101"/>
    </sheetView>
  </sheetViews>
  <sheetFormatPr defaultColWidth="8.6640625" defaultRowHeight="14.4"/>
  <cols>
    <col min="1" max="2" width="12" customWidth="1"/>
    <col min="3" max="3" width="22" customWidth="1"/>
    <col min="4" max="4" width="10" customWidth="1"/>
    <col min="5" max="5" width="14" customWidth="1"/>
    <col min="6" max="6" width="20" customWidth="1"/>
    <col min="7" max="7" width="45" customWidth="1"/>
    <col min="8" max="8" width="10" customWidth="1"/>
    <col min="9" max="9" width="14" customWidth="1"/>
    <col min="10" max="10" width="13" customWidth="1"/>
    <col min="11" max="11" width="20" customWidth="1"/>
    <col min="12" max="12" width="22" customWidth="1"/>
    <col min="13" max="13" width="20" customWidth="1"/>
    <col min="14" max="14" width="18" customWidth="1"/>
    <col min="15" max="15" width="20" customWidth="1"/>
    <col min="16" max="16" width="50" customWidth="1"/>
  </cols>
  <sheetData>
    <row r="1" spans="1:16" ht="34.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ht="26.4">
      <c r="A2" s="16" t="s">
        <v>16</v>
      </c>
      <c r="B2" s="16" t="s">
        <v>17</v>
      </c>
      <c r="C2" s="17" t="s">
        <v>18</v>
      </c>
      <c r="D2" s="16" t="s">
        <v>19</v>
      </c>
      <c r="E2" s="16" t="s">
        <v>20</v>
      </c>
      <c r="F2" s="16" t="s">
        <v>21</v>
      </c>
      <c r="G2" s="17" t="s">
        <v>22</v>
      </c>
      <c r="H2" s="18" t="s">
        <v>23</v>
      </c>
      <c r="I2" s="19">
        <v>45572</v>
      </c>
      <c r="J2" s="20" t="s">
        <v>24</v>
      </c>
      <c r="K2" s="16" t="s">
        <v>25</v>
      </c>
      <c r="L2" s="21">
        <v>4.5</v>
      </c>
      <c r="M2" s="21">
        <v>9.1999999999999993</v>
      </c>
      <c r="N2" s="16" t="s">
        <v>26</v>
      </c>
      <c r="O2" s="16" t="s">
        <v>27</v>
      </c>
      <c r="P2" s="17" t="s">
        <v>28</v>
      </c>
    </row>
    <row r="3" spans="1:16" ht="26.4">
      <c r="A3" s="22" t="s">
        <v>29</v>
      </c>
      <c r="B3" s="22" t="s">
        <v>30</v>
      </c>
      <c r="C3" s="23" t="s">
        <v>31</v>
      </c>
      <c r="D3" s="22" t="s">
        <v>19</v>
      </c>
      <c r="E3" s="22" t="s">
        <v>32</v>
      </c>
      <c r="F3" s="22" t="s">
        <v>33</v>
      </c>
      <c r="G3" s="23" t="s">
        <v>34</v>
      </c>
      <c r="H3" s="24" t="s">
        <v>35</v>
      </c>
      <c r="I3" s="25">
        <v>45296</v>
      </c>
      <c r="J3" s="26" t="s">
        <v>36</v>
      </c>
      <c r="K3" s="22" t="s">
        <v>37</v>
      </c>
      <c r="L3" s="27">
        <v>7.2</v>
      </c>
      <c r="M3" s="27">
        <v>54.4</v>
      </c>
      <c r="N3" s="22" t="s">
        <v>26</v>
      </c>
      <c r="O3" s="22" t="s">
        <v>27</v>
      </c>
      <c r="P3" s="23" t="s">
        <v>38</v>
      </c>
    </row>
    <row r="4" spans="1:16" ht="26.4">
      <c r="A4" s="16" t="s">
        <v>39</v>
      </c>
      <c r="B4" s="16" t="s">
        <v>40</v>
      </c>
      <c r="C4" s="17" t="s">
        <v>41</v>
      </c>
      <c r="D4" s="16" t="s">
        <v>42</v>
      </c>
      <c r="E4" s="16" t="s">
        <v>43</v>
      </c>
      <c r="F4" s="16" t="s">
        <v>44</v>
      </c>
      <c r="G4" s="17" t="s">
        <v>45</v>
      </c>
      <c r="H4" s="18" t="s">
        <v>23</v>
      </c>
      <c r="I4" s="19">
        <v>45567</v>
      </c>
      <c r="J4" s="28" t="s">
        <v>46</v>
      </c>
      <c r="K4" s="16" t="s">
        <v>47</v>
      </c>
      <c r="L4" s="21">
        <v>7.5</v>
      </c>
      <c r="M4" s="21">
        <v>11.2</v>
      </c>
      <c r="N4" s="16" t="s">
        <v>26</v>
      </c>
      <c r="O4" s="16" t="s">
        <v>48</v>
      </c>
      <c r="P4" s="17" t="s">
        <v>49</v>
      </c>
    </row>
    <row r="5" spans="1:16" ht="26.4">
      <c r="A5" s="22" t="s">
        <v>50</v>
      </c>
      <c r="B5" s="22" t="s">
        <v>51</v>
      </c>
      <c r="C5" s="23" t="s">
        <v>31</v>
      </c>
      <c r="D5" s="22" t="s">
        <v>42</v>
      </c>
      <c r="E5" s="22" t="s">
        <v>52</v>
      </c>
      <c r="F5" s="22" t="s">
        <v>53</v>
      </c>
      <c r="G5" s="23" t="s">
        <v>54</v>
      </c>
      <c r="H5" s="29" t="s">
        <v>55</v>
      </c>
      <c r="I5" s="25">
        <v>45344</v>
      </c>
      <c r="J5" s="26" t="s">
        <v>36</v>
      </c>
      <c r="K5" s="22" t="s">
        <v>56</v>
      </c>
      <c r="L5" s="27">
        <v>2.1</v>
      </c>
      <c r="M5" s="27">
        <v>20.7</v>
      </c>
      <c r="N5" s="22" t="s">
        <v>26</v>
      </c>
      <c r="O5" s="22" t="s">
        <v>27</v>
      </c>
      <c r="P5" s="23" t="s">
        <v>57</v>
      </c>
    </row>
    <row r="6" spans="1:16" ht="26.4">
      <c r="A6" s="16" t="s">
        <v>58</v>
      </c>
      <c r="B6" s="16" t="s">
        <v>59</v>
      </c>
      <c r="C6" s="17" t="s">
        <v>60</v>
      </c>
      <c r="D6" s="16" t="s">
        <v>19</v>
      </c>
      <c r="E6" s="16" t="s">
        <v>20</v>
      </c>
      <c r="F6" s="16" t="s">
        <v>53</v>
      </c>
      <c r="G6" s="17" t="s">
        <v>61</v>
      </c>
      <c r="H6" s="18" t="s">
        <v>23</v>
      </c>
      <c r="I6" s="19">
        <v>45431</v>
      </c>
      <c r="J6" s="30" t="s">
        <v>62</v>
      </c>
      <c r="K6" s="16" t="s">
        <v>56</v>
      </c>
      <c r="L6" s="21">
        <v>5.8</v>
      </c>
      <c r="M6" s="21">
        <v>30.3</v>
      </c>
      <c r="N6" s="16" t="s">
        <v>63</v>
      </c>
      <c r="O6" s="16" t="s">
        <v>48</v>
      </c>
      <c r="P6" s="17" t="s">
        <v>64</v>
      </c>
    </row>
    <row r="7" spans="1:16" ht="26.4">
      <c r="A7" s="22" t="s">
        <v>65</v>
      </c>
      <c r="B7" s="22" t="s">
        <v>66</v>
      </c>
      <c r="C7" s="23" t="s">
        <v>67</v>
      </c>
      <c r="D7" s="22" t="s">
        <v>68</v>
      </c>
      <c r="E7" s="22" t="s">
        <v>32</v>
      </c>
      <c r="F7" s="22" t="s">
        <v>21</v>
      </c>
      <c r="G7" s="23" t="s">
        <v>69</v>
      </c>
      <c r="H7" s="29" t="s">
        <v>55</v>
      </c>
      <c r="I7" s="25">
        <v>45454</v>
      </c>
      <c r="J7" s="28" t="s">
        <v>46</v>
      </c>
      <c r="K7" s="22" t="s">
        <v>25</v>
      </c>
      <c r="L7" s="27">
        <v>2.2000000000000002</v>
      </c>
      <c r="M7" s="27">
        <v>21.7</v>
      </c>
      <c r="N7" s="22" t="s">
        <v>26</v>
      </c>
      <c r="O7" s="22" t="s">
        <v>27</v>
      </c>
      <c r="P7" s="23" t="s">
        <v>70</v>
      </c>
    </row>
    <row r="8" spans="1:16" ht="26.4">
      <c r="A8" s="16" t="s">
        <v>71</v>
      </c>
      <c r="B8" s="16" t="s">
        <v>72</v>
      </c>
      <c r="C8" s="17" t="s">
        <v>73</v>
      </c>
      <c r="D8" s="16" t="s">
        <v>74</v>
      </c>
      <c r="E8" s="16" t="s">
        <v>52</v>
      </c>
      <c r="F8" s="16" t="s">
        <v>75</v>
      </c>
      <c r="G8" s="17" t="s">
        <v>76</v>
      </c>
      <c r="H8" s="18" t="s">
        <v>23</v>
      </c>
      <c r="I8" s="19">
        <v>45405</v>
      </c>
      <c r="J8" s="30" t="s">
        <v>62</v>
      </c>
      <c r="K8" s="16" t="s">
        <v>77</v>
      </c>
      <c r="L8" s="21">
        <v>2.8</v>
      </c>
      <c r="M8" s="21">
        <v>27.7</v>
      </c>
      <c r="N8" s="16" t="s">
        <v>63</v>
      </c>
      <c r="O8" s="16" t="s">
        <v>48</v>
      </c>
      <c r="P8" s="17" t="s">
        <v>78</v>
      </c>
    </row>
    <row r="9" spans="1:16" ht="26.4">
      <c r="A9" s="22" t="s">
        <v>79</v>
      </c>
      <c r="B9" s="22" t="s">
        <v>80</v>
      </c>
      <c r="C9" s="23" t="s">
        <v>81</v>
      </c>
      <c r="D9" s="22" t="s">
        <v>19</v>
      </c>
      <c r="E9" s="22" t="s">
        <v>32</v>
      </c>
      <c r="F9" s="22" t="s">
        <v>21</v>
      </c>
      <c r="G9" s="23" t="s">
        <v>82</v>
      </c>
      <c r="H9" s="18" t="s">
        <v>23</v>
      </c>
      <c r="I9" s="25">
        <v>45532</v>
      </c>
      <c r="J9" s="26" t="s">
        <v>36</v>
      </c>
      <c r="K9" s="22" t="s">
        <v>25</v>
      </c>
      <c r="L9" s="27">
        <v>7.8</v>
      </c>
      <c r="M9" s="27">
        <v>42.4</v>
      </c>
      <c r="N9" s="22" t="s">
        <v>63</v>
      </c>
      <c r="O9" s="22" t="s">
        <v>48</v>
      </c>
      <c r="P9" s="23" t="s">
        <v>83</v>
      </c>
    </row>
    <row r="10" spans="1:16">
      <c r="A10" s="16" t="s">
        <v>84</v>
      </c>
      <c r="B10" s="16" t="s">
        <v>85</v>
      </c>
      <c r="C10" s="17" t="s">
        <v>86</v>
      </c>
      <c r="D10" s="16" t="s">
        <v>42</v>
      </c>
      <c r="E10" s="16" t="s">
        <v>20</v>
      </c>
      <c r="F10" s="16" t="s">
        <v>21</v>
      </c>
      <c r="G10" s="17" t="s">
        <v>87</v>
      </c>
      <c r="H10" s="29" t="s">
        <v>55</v>
      </c>
      <c r="I10" s="19">
        <v>45427</v>
      </c>
      <c r="J10" s="30" t="s">
        <v>62</v>
      </c>
      <c r="K10" s="16" t="s">
        <v>25</v>
      </c>
      <c r="L10" s="21">
        <v>3.2</v>
      </c>
      <c r="M10" s="21">
        <v>14.2</v>
      </c>
      <c r="N10" s="16" t="s">
        <v>63</v>
      </c>
      <c r="O10" s="16" t="s">
        <v>27</v>
      </c>
      <c r="P10" s="17" t="s">
        <v>88</v>
      </c>
    </row>
    <row r="11" spans="1:16">
      <c r="A11" s="22" t="s">
        <v>89</v>
      </c>
      <c r="B11" s="22" t="s">
        <v>90</v>
      </c>
      <c r="C11" s="23" t="s">
        <v>91</v>
      </c>
      <c r="D11" s="22" t="s">
        <v>42</v>
      </c>
      <c r="E11" s="22" t="s">
        <v>32</v>
      </c>
      <c r="F11" s="22" t="s">
        <v>21</v>
      </c>
      <c r="G11" s="23" t="s">
        <v>92</v>
      </c>
      <c r="H11" s="29" t="s">
        <v>55</v>
      </c>
      <c r="I11" s="25">
        <v>45599</v>
      </c>
      <c r="J11" s="26" t="s">
        <v>36</v>
      </c>
      <c r="K11" s="22" t="s">
        <v>25</v>
      </c>
      <c r="L11" s="27">
        <v>0.6</v>
      </c>
      <c r="M11" s="27">
        <v>22.6</v>
      </c>
      <c r="N11" s="22" t="s">
        <v>26</v>
      </c>
      <c r="O11" s="22" t="s">
        <v>93</v>
      </c>
      <c r="P11" s="23" t="s">
        <v>88</v>
      </c>
    </row>
    <row r="12" spans="1:16" ht="26.4">
      <c r="A12" s="16" t="s">
        <v>94</v>
      </c>
      <c r="B12" s="16" t="s">
        <v>95</v>
      </c>
      <c r="C12" s="17" t="s">
        <v>96</v>
      </c>
      <c r="D12" s="16" t="s">
        <v>68</v>
      </c>
      <c r="E12" s="16" t="s">
        <v>97</v>
      </c>
      <c r="F12" s="16" t="s">
        <v>21</v>
      </c>
      <c r="G12" s="17" t="s">
        <v>98</v>
      </c>
      <c r="H12" s="29" t="s">
        <v>55</v>
      </c>
      <c r="I12" s="19">
        <v>45565</v>
      </c>
      <c r="J12" s="26" t="s">
        <v>36</v>
      </c>
      <c r="K12" s="16" t="s">
        <v>25</v>
      </c>
      <c r="L12" s="21">
        <v>0.9</v>
      </c>
      <c r="M12" s="21">
        <v>13.5</v>
      </c>
      <c r="N12" s="16" t="s">
        <v>26</v>
      </c>
      <c r="O12" s="16" t="s">
        <v>27</v>
      </c>
      <c r="P12" s="17" t="s">
        <v>99</v>
      </c>
    </row>
    <row r="13" spans="1:16">
      <c r="A13" s="22" t="s">
        <v>100</v>
      </c>
      <c r="B13" s="22" t="s">
        <v>101</v>
      </c>
      <c r="C13" s="23" t="s">
        <v>102</v>
      </c>
      <c r="D13" s="22" t="s">
        <v>74</v>
      </c>
      <c r="E13" s="22" t="s">
        <v>52</v>
      </c>
      <c r="F13" s="22" t="s">
        <v>33</v>
      </c>
      <c r="G13" s="23" t="s">
        <v>103</v>
      </c>
      <c r="H13" s="18" t="s">
        <v>23</v>
      </c>
      <c r="I13" s="25">
        <v>45636</v>
      </c>
      <c r="J13" s="26" t="s">
        <v>36</v>
      </c>
      <c r="K13" s="22" t="s">
        <v>37</v>
      </c>
      <c r="L13" s="27">
        <v>4.5999999999999996</v>
      </c>
      <c r="M13" s="27">
        <v>28.7</v>
      </c>
      <c r="N13" s="22" t="s">
        <v>63</v>
      </c>
      <c r="O13" s="22" t="s">
        <v>27</v>
      </c>
      <c r="P13" s="23" t="s">
        <v>38</v>
      </c>
    </row>
    <row r="14" spans="1:16" ht="26.4">
      <c r="A14" s="16" t="s">
        <v>104</v>
      </c>
      <c r="B14" s="16" t="s">
        <v>105</v>
      </c>
      <c r="C14" s="17" t="s">
        <v>106</v>
      </c>
      <c r="D14" s="16" t="s">
        <v>42</v>
      </c>
      <c r="E14" s="16" t="s">
        <v>20</v>
      </c>
      <c r="F14" s="16" t="s">
        <v>21</v>
      </c>
      <c r="G14" s="17" t="s">
        <v>87</v>
      </c>
      <c r="H14" s="24" t="s">
        <v>35</v>
      </c>
      <c r="I14" s="19">
        <v>45309</v>
      </c>
      <c r="J14" s="30" t="s">
        <v>62</v>
      </c>
      <c r="K14" s="16" t="s">
        <v>25</v>
      </c>
      <c r="L14" s="21">
        <v>5.4</v>
      </c>
      <c r="M14" s="21">
        <v>41.1</v>
      </c>
      <c r="N14" s="16" t="s">
        <v>63</v>
      </c>
      <c r="O14" s="16" t="s">
        <v>48</v>
      </c>
      <c r="P14" s="17" t="s">
        <v>107</v>
      </c>
    </row>
    <row r="15" spans="1:16">
      <c r="A15" s="22" t="s">
        <v>108</v>
      </c>
      <c r="B15" s="22" t="s">
        <v>109</v>
      </c>
      <c r="C15" s="23" t="s">
        <v>110</v>
      </c>
      <c r="D15" s="22" t="s">
        <v>68</v>
      </c>
      <c r="E15" s="22" t="s">
        <v>32</v>
      </c>
      <c r="F15" s="22" t="s">
        <v>75</v>
      </c>
      <c r="G15" s="23" t="s">
        <v>111</v>
      </c>
      <c r="H15" s="29" t="s">
        <v>55</v>
      </c>
      <c r="I15" s="25">
        <v>45390</v>
      </c>
      <c r="J15" s="20" t="s">
        <v>24</v>
      </c>
      <c r="K15" s="22" t="s">
        <v>77</v>
      </c>
      <c r="L15" s="27">
        <v>2.8</v>
      </c>
      <c r="M15" s="27">
        <v>11.1</v>
      </c>
      <c r="N15" s="22" t="s">
        <v>26</v>
      </c>
      <c r="O15" s="22" t="s">
        <v>93</v>
      </c>
      <c r="P15" s="23" t="s">
        <v>112</v>
      </c>
    </row>
    <row r="16" spans="1:16">
      <c r="A16" s="16" t="s">
        <v>113</v>
      </c>
      <c r="B16" s="16" t="s">
        <v>114</v>
      </c>
      <c r="C16" s="17" t="s">
        <v>115</v>
      </c>
      <c r="D16" s="16" t="s">
        <v>42</v>
      </c>
      <c r="E16" s="16" t="s">
        <v>32</v>
      </c>
      <c r="F16" s="16" t="s">
        <v>33</v>
      </c>
      <c r="G16" s="17" t="s">
        <v>116</v>
      </c>
      <c r="H16" s="24" t="s">
        <v>35</v>
      </c>
      <c r="I16" s="19">
        <v>45390</v>
      </c>
      <c r="J16" s="26" t="s">
        <v>36</v>
      </c>
      <c r="K16" s="16" t="s">
        <v>37</v>
      </c>
      <c r="L16" s="21">
        <v>6.8</v>
      </c>
      <c r="M16" s="21">
        <v>37.200000000000003</v>
      </c>
      <c r="N16" s="16" t="s">
        <v>26</v>
      </c>
      <c r="O16" s="16" t="s">
        <v>93</v>
      </c>
      <c r="P16" s="17" t="s">
        <v>117</v>
      </c>
    </row>
    <row r="17" spans="1:16" ht="26.4">
      <c r="A17" s="22" t="s">
        <v>118</v>
      </c>
      <c r="B17" s="22" t="s">
        <v>119</v>
      </c>
      <c r="C17" s="23" t="s">
        <v>120</v>
      </c>
      <c r="D17" s="22" t="s">
        <v>68</v>
      </c>
      <c r="E17" s="22" t="s">
        <v>20</v>
      </c>
      <c r="F17" s="22" t="s">
        <v>44</v>
      </c>
      <c r="G17" s="23" t="s">
        <v>121</v>
      </c>
      <c r="H17" s="29" t="s">
        <v>55</v>
      </c>
      <c r="I17" s="25">
        <v>45340</v>
      </c>
      <c r="J17" s="30" t="s">
        <v>62</v>
      </c>
      <c r="K17" s="22" t="s">
        <v>47</v>
      </c>
      <c r="L17" s="27">
        <v>3.5</v>
      </c>
      <c r="M17" s="27">
        <v>7.3</v>
      </c>
      <c r="N17" s="22" t="s">
        <v>63</v>
      </c>
      <c r="O17" s="22" t="s">
        <v>27</v>
      </c>
      <c r="P17" s="23" t="s">
        <v>122</v>
      </c>
    </row>
    <row r="18" spans="1:16">
      <c r="A18" s="16" t="s">
        <v>123</v>
      </c>
      <c r="B18" s="16" t="s">
        <v>124</v>
      </c>
      <c r="C18" s="17" t="s">
        <v>125</v>
      </c>
      <c r="D18" s="16" t="s">
        <v>42</v>
      </c>
      <c r="E18" s="16" t="s">
        <v>20</v>
      </c>
      <c r="F18" s="16" t="s">
        <v>75</v>
      </c>
      <c r="G18" s="17" t="s">
        <v>111</v>
      </c>
      <c r="H18" s="24" t="s">
        <v>35</v>
      </c>
      <c r="I18" s="19">
        <v>45649</v>
      </c>
      <c r="J18" s="30" t="s">
        <v>62</v>
      </c>
      <c r="K18" s="16" t="s">
        <v>77</v>
      </c>
      <c r="L18" s="21">
        <v>23.9</v>
      </c>
      <c r="M18" s="21">
        <v>64</v>
      </c>
      <c r="N18" s="16" t="s">
        <v>63</v>
      </c>
      <c r="O18" s="16" t="s">
        <v>48</v>
      </c>
      <c r="P18" s="17" t="s">
        <v>126</v>
      </c>
    </row>
    <row r="19" spans="1:16" ht="26.4">
      <c r="A19" s="22" t="s">
        <v>127</v>
      </c>
      <c r="B19" s="22" t="s">
        <v>128</v>
      </c>
      <c r="C19" s="23" t="s">
        <v>129</v>
      </c>
      <c r="D19" s="22" t="s">
        <v>68</v>
      </c>
      <c r="E19" s="22" t="s">
        <v>32</v>
      </c>
      <c r="F19" s="22" t="s">
        <v>44</v>
      </c>
      <c r="G19" s="23" t="s">
        <v>130</v>
      </c>
      <c r="H19" s="24" t="s">
        <v>35</v>
      </c>
      <c r="I19" s="25">
        <v>45592</v>
      </c>
      <c r="J19" s="26" t="s">
        <v>36</v>
      </c>
      <c r="K19" s="22" t="s">
        <v>47</v>
      </c>
      <c r="L19" s="27">
        <v>22.4</v>
      </c>
      <c r="M19" s="27">
        <v>62.2</v>
      </c>
      <c r="N19" s="22" t="s">
        <v>63</v>
      </c>
      <c r="O19" s="22" t="s">
        <v>27</v>
      </c>
      <c r="P19" s="23" t="s">
        <v>131</v>
      </c>
    </row>
    <row r="20" spans="1:16">
      <c r="A20" s="16" t="s">
        <v>132</v>
      </c>
      <c r="B20" s="16" t="s">
        <v>133</v>
      </c>
      <c r="C20" s="17" t="s">
        <v>134</v>
      </c>
      <c r="D20" s="16" t="s">
        <v>19</v>
      </c>
      <c r="E20" s="16" t="s">
        <v>20</v>
      </c>
      <c r="F20" s="16" t="s">
        <v>21</v>
      </c>
      <c r="G20" s="17" t="s">
        <v>69</v>
      </c>
      <c r="H20" s="24" t="s">
        <v>35</v>
      </c>
      <c r="I20" s="19">
        <v>45597</v>
      </c>
      <c r="J20" s="20" t="s">
        <v>24</v>
      </c>
      <c r="K20" s="16" t="s">
        <v>25</v>
      </c>
      <c r="L20" s="21">
        <v>5.6</v>
      </c>
      <c r="M20" s="21">
        <v>71.3</v>
      </c>
      <c r="N20" s="16" t="s">
        <v>26</v>
      </c>
      <c r="O20" s="16" t="s">
        <v>27</v>
      </c>
      <c r="P20" s="17" t="s">
        <v>88</v>
      </c>
    </row>
    <row r="21" spans="1:16" ht="26.4">
      <c r="A21" s="22" t="s">
        <v>135</v>
      </c>
      <c r="B21" s="22" t="s">
        <v>136</v>
      </c>
      <c r="C21" s="23" t="s">
        <v>137</v>
      </c>
      <c r="D21" s="22" t="s">
        <v>42</v>
      </c>
      <c r="E21" s="22" t="s">
        <v>20</v>
      </c>
      <c r="F21" s="22" t="s">
        <v>21</v>
      </c>
      <c r="G21" s="23" t="s">
        <v>138</v>
      </c>
      <c r="H21" s="18" t="s">
        <v>23</v>
      </c>
      <c r="I21" s="25">
        <v>45330</v>
      </c>
      <c r="J21" s="20" t="s">
        <v>24</v>
      </c>
      <c r="K21" s="22" t="s">
        <v>25</v>
      </c>
      <c r="L21" s="27">
        <v>5.7</v>
      </c>
      <c r="M21" s="27">
        <v>30.5</v>
      </c>
      <c r="N21" s="22" t="s">
        <v>63</v>
      </c>
      <c r="O21" s="22" t="s">
        <v>27</v>
      </c>
      <c r="P21" s="23" t="s">
        <v>83</v>
      </c>
    </row>
    <row r="22" spans="1:16" ht="26.4">
      <c r="A22" s="16" t="s">
        <v>139</v>
      </c>
      <c r="B22" s="16" t="s">
        <v>140</v>
      </c>
      <c r="C22" s="17" t="s">
        <v>141</v>
      </c>
      <c r="D22" s="16" t="s">
        <v>42</v>
      </c>
      <c r="E22" s="16" t="s">
        <v>20</v>
      </c>
      <c r="F22" s="16" t="s">
        <v>33</v>
      </c>
      <c r="G22" s="17" t="s">
        <v>103</v>
      </c>
      <c r="H22" s="24" t="s">
        <v>35</v>
      </c>
      <c r="I22" s="19">
        <v>45571</v>
      </c>
      <c r="J22" s="26" t="s">
        <v>36</v>
      </c>
      <c r="K22" s="16" t="s">
        <v>37</v>
      </c>
      <c r="L22" s="21">
        <v>16.2</v>
      </c>
      <c r="M22" s="21">
        <v>95.1</v>
      </c>
      <c r="N22" s="16" t="s">
        <v>26</v>
      </c>
      <c r="O22" s="16" t="s">
        <v>27</v>
      </c>
      <c r="P22" s="17" t="s">
        <v>142</v>
      </c>
    </row>
    <row r="23" spans="1:16">
      <c r="A23" s="22" t="s">
        <v>143</v>
      </c>
      <c r="B23" s="22" t="s">
        <v>144</v>
      </c>
      <c r="C23" s="23" t="s">
        <v>145</v>
      </c>
      <c r="D23" s="22" t="s">
        <v>42</v>
      </c>
      <c r="E23" s="22" t="s">
        <v>43</v>
      </c>
      <c r="F23" s="22" t="s">
        <v>33</v>
      </c>
      <c r="G23" s="23" t="s">
        <v>116</v>
      </c>
      <c r="H23" s="18" t="s">
        <v>23</v>
      </c>
      <c r="I23" s="25">
        <v>45372</v>
      </c>
      <c r="J23" s="28" t="s">
        <v>46</v>
      </c>
      <c r="K23" s="22" t="s">
        <v>37</v>
      </c>
      <c r="L23" s="27">
        <v>5.6</v>
      </c>
      <c r="M23" s="27">
        <v>36.700000000000003</v>
      </c>
      <c r="N23" s="22" t="s">
        <v>26</v>
      </c>
      <c r="O23" s="22" t="s">
        <v>48</v>
      </c>
      <c r="P23" s="23" t="s">
        <v>146</v>
      </c>
    </row>
    <row r="24" spans="1:16" ht="26.4">
      <c r="A24" s="16" t="s">
        <v>147</v>
      </c>
      <c r="B24" s="16" t="s">
        <v>148</v>
      </c>
      <c r="C24" s="17" t="s">
        <v>149</v>
      </c>
      <c r="D24" s="16" t="s">
        <v>68</v>
      </c>
      <c r="E24" s="16" t="s">
        <v>43</v>
      </c>
      <c r="F24" s="16" t="s">
        <v>21</v>
      </c>
      <c r="G24" s="17" t="s">
        <v>82</v>
      </c>
      <c r="H24" s="29" t="s">
        <v>55</v>
      </c>
      <c r="I24" s="19">
        <v>45315</v>
      </c>
      <c r="J24" s="20" t="s">
        <v>24</v>
      </c>
      <c r="K24" s="16" t="s">
        <v>25</v>
      </c>
      <c r="L24" s="21">
        <v>3.2</v>
      </c>
      <c r="M24" s="21">
        <v>16.7</v>
      </c>
      <c r="N24" s="16" t="s">
        <v>26</v>
      </c>
      <c r="O24" s="16" t="s">
        <v>48</v>
      </c>
      <c r="P24" s="17" t="s">
        <v>83</v>
      </c>
    </row>
    <row r="25" spans="1:16" ht="26.4">
      <c r="A25" s="22" t="s">
        <v>150</v>
      </c>
      <c r="B25" s="22" t="s">
        <v>151</v>
      </c>
      <c r="C25" s="23" t="s">
        <v>152</v>
      </c>
      <c r="D25" s="22" t="s">
        <v>42</v>
      </c>
      <c r="E25" s="22" t="s">
        <v>97</v>
      </c>
      <c r="F25" s="22" t="s">
        <v>53</v>
      </c>
      <c r="G25" s="23" t="s">
        <v>61</v>
      </c>
      <c r="H25" s="18" t="s">
        <v>23</v>
      </c>
      <c r="I25" s="25">
        <v>45482</v>
      </c>
      <c r="J25" s="26" t="s">
        <v>36</v>
      </c>
      <c r="K25" s="22" t="s">
        <v>56</v>
      </c>
      <c r="L25" s="27">
        <v>2.9</v>
      </c>
      <c r="M25" s="27">
        <v>13.1</v>
      </c>
      <c r="N25" s="22" t="s">
        <v>26</v>
      </c>
      <c r="O25" s="22" t="s">
        <v>93</v>
      </c>
      <c r="P25" s="23" t="s">
        <v>64</v>
      </c>
    </row>
    <row r="26" spans="1:16" ht="26.4">
      <c r="A26" s="16" t="s">
        <v>153</v>
      </c>
      <c r="B26" s="16" t="s">
        <v>154</v>
      </c>
      <c r="C26" s="17" t="s">
        <v>155</v>
      </c>
      <c r="D26" s="16" t="s">
        <v>42</v>
      </c>
      <c r="E26" s="16" t="s">
        <v>20</v>
      </c>
      <c r="F26" s="16" t="s">
        <v>156</v>
      </c>
      <c r="G26" s="17" t="s">
        <v>157</v>
      </c>
      <c r="H26" s="29" t="s">
        <v>55</v>
      </c>
      <c r="I26" s="19">
        <v>45372</v>
      </c>
      <c r="J26" s="30" t="s">
        <v>62</v>
      </c>
      <c r="K26" s="16" t="s">
        <v>158</v>
      </c>
      <c r="L26" s="21">
        <v>1.3</v>
      </c>
      <c r="M26" s="21">
        <v>7.3</v>
      </c>
      <c r="N26" s="16" t="s">
        <v>63</v>
      </c>
      <c r="O26" s="16" t="s">
        <v>48</v>
      </c>
      <c r="P26" s="17" t="s">
        <v>159</v>
      </c>
    </row>
    <row r="27" spans="1:16" ht="26.4">
      <c r="A27" s="22" t="s">
        <v>160</v>
      </c>
      <c r="B27" s="22" t="s">
        <v>161</v>
      </c>
      <c r="C27" s="23" t="s">
        <v>162</v>
      </c>
      <c r="D27" s="22" t="s">
        <v>19</v>
      </c>
      <c r="E27" s="22" t="s">
        <v>32</v>
      </c>
      <c r="F27" s="22" t="s">
        <v>163</v>
      </c>
      <c r="G27" s="23" t="s">
        <v>164</v>
      </c>
      <c r="H27" s="24" t="s">
        <v>35</v>
      </c>
      <c r="I27" s="25">
        <v>45652</v>
      </c>
      <c r="J27" s="28" t="s">
        <v>46</v>
      </c>
      <c r="K27" s="22" t="s">
        <v>165</v>
      </c>
      <c r="L27" s="27">
        <v>21.4</v>
      </c>
      <c r="M27" s="27">
        <v>85.8</v>
      </c>
      <c r="N27" s="22" t="s">
        <v>26</v>
      </c>
      <c r="O27" s="22" t="s">
        <v>93</v>
      </c>
      <c r="P27" s="23" t="s">
        <v>166</v>
      </c>
    </row>
    <row r="28" spans="1:16">
      <c r="A28" s="16" t="s">
        <v>167</v>
      </c>
      <c r="B28" s="16" t="s">
        <v>168</v>
      </c>
      <c r="C28" s="17" t="s">
        <v>169</v>
      </c>
      <c r="D28" s="16" t="s">
        <v>19</v>
      </c>
      <c r="E28" s="16" t="s">
        <v>20</v>
      </c>
      <c r="F28" s="16" t="s">
        <v>21</v>
      </c>
      <c r="G28" s="17" t="s">
        <v>170</v>
      </c>
      <c r="H28" s="18" t="s">
        <v>23</v>
      </c>
      <c r="I28" s="19">
        <v>45435</v>
      </c>
      <c r="J28" s="30" t="s">
        <v>62</v>
      </c>
      <c r="K28" s="16" t="s">
        <v>25</v>
      </c>
      <c r="L28" s="21">
        <v>7.8</v>
      </c>
      <c r="M28" s="21">
        <v>19.2</v>
      </c>
      <c r="N28" s="16" t="s">
        <v>63</v>
      </c>
      <c r="O28" s="16" t="s">
        <v>48</v>
      </c>
      <c r="P28" s="17" t="s">
        <v>171</v>
      </c>
    </row>
    <row r="29" spans="1:16">
      <c r="A29" s="22" t="s">
        <v>172</v>
      </c>
      <c r="B29" s="22" t="s">
        <v>173</v>
      </c>
      <c r="C29" s="23" t="s">
        <v>174</v>
      </c>
      <c r="D29" s="22" t="s">
        <v>42</v>
      </c>
      <c r="E29" s="22" t="s">
        <v>20</v>
      </c>
      <c r="F29" s="22" t="s">
        <v>156</v>
      </c>
      <c r="G29" s="23" t="s">
        <v>175</v>
      </c>
      <c r="H29" s="24" t="s">
        <v>35</v>
      </c>
      <c r="I29" s="25">
        <v>45428</v>
      </c>
      <c r="J29" s="20" t="s">
        <v>24</v>
      </c>
      <c r="K29" s="22" t="s">
        <v>158</v>
      </c>
      <c r="L29" s="27">
        <v>15.9</v>
      </c>
      <c r="M29" s="27">
        <v>48.9</v>
      </c>
      <c r="N29" s="22" t="s">
        <v>26</v>
      </c>
      <c r="O29" s="22" t="s">
        <v>27</v>
      </c>
      <c r="P29" s="23" t="s">
        <v>176</v>
      </c>
    </row>
    <row r="30" spans="1:16">
      <c r="A30" s="16" t="s">
        <v>177</v>
      </c>
      <c r="B30" s="16" t="s">
        <v>178</v>
      </c>
      <c r="C30" s="17" t="s">
        <v>179</v>
      </c>
      <c r="D30" s="16" t="s">
        <v>74</v>
      </c>
      <c r="E30" s="16" t="s">
        <v>20</v>
      </c>
      <c r="F30" s="16" t="s">
        <v>53</v>
      </c>
      <c r="G30" s="17" t="s">
        <v>180</v>
      </c>
      <c r="H30" s="18" t="s">
        <v>23</v>
      </c>
      <c r="I30" s="19">
        <v>45568</v>
      </c>
      <c r="J30" s="26" t="s">
        <v>36</v>
      </c>
      <c r="K30" s="16" t="s">
        <v>56</v>
      </c>
      <c r="L30" s="21">
        <v>7.6</v>
      </c>
      <c r="M30" s="21">
        <v>37.5</v>
      </c>
      <c r="N30" s="16" t="s">
        <v>26</v>
      </c>
      <c r="O30" s="16" t="s">
        <v>27</v>
      </c>
      <c r="P30" s="17" t="s">
        <v>181</v>
      </c>
    </row>
    <row r="31" spans="1:16">
      <c r="A31" s="22" t="s">
        <v>182</v>
      </c>
      <c r="B31" s="22" t="s">
        <v>183</v>
      </c>
      <c r="C31" s="23" t="s">
        <v>184</v>
      </c>
      <c r="D31" s="22" t="s">
        <v>68</v>
      </c>
      <c r="E31" s="22" t="s">
        <v>52</v>
      </c>
      <c r="F31" s="22" t="s">
        <v>33</v>
      </c>
      <c r="G31" s="23" t="s">
        <v>103</v>
      </c>
      <c r="H31" s="18" t="s">
        <v>23</v>
      </c>
      <c r="I31" s="25">
        <v>45460</v>
      </c>
      <c r="J31" s="26" t="s">
        <v>36</v>
      </c>
      <c r="K31" s="22" t="s">
        <v>37</v>
      </c>
      <c r="L31" s="27">
        <v>3.8</v>
      </c>
      <c r="M31" s="27">
        <v>13.1</v>
      </c>
      <c r="N31" s="22" t="s">
        <v>26</v>
      </c>
      <c r="O31" s="22" t="s">
        <v>93</v>
      </c>
      <c r="P31" s="23" t="s">
        <v>185</v>
      </c>
    </row>
    <row r="32" spans="1:16">
      <c r="A32" s="16" t="s">
        <v>186</v>
      </c>
      <c r="B32" s="16" t="s">
        <v>187</v>
      </c>
      <c r="C32" s="17" t="s">
        <v>188</v>
      </c>
      <c r="D32" s="16" t="s">
        <v>74</v>
      </c>
      <c r="E32" s="16" t="s">
        <v>43</v>
      </c>
      <c r="F32" s="16" t="s">
        <v>33</v>
      </c>
      <c r="G32" s="17" t="s">
        <v>189</v>
      </c>
      <c r="H32" s="18" t="s">
        <v>23</v>
      </c>
      <c r="I32" s="19">
        <v>45589</v>
      </c>
      <c r="J32" s="26" t="s">
        <v>36</v>
      </c>
      <c r="K32" s="16" t="s">
        <v>37</v>
      </c>
      <c r="L32" s="21">
        <v>3.9</v>
      </c>
      <c r="M32" s="21">
        <v>25.7</v>
      </c>
      <c r="N32" s="16" t="s">
        <v>26</v>
      </c>
      <c r="O32" s="16" t="s">
        <v>27</v>
      </c>
      <c r="P32" s="17" t="s">
        <v>185</v>
      </c>
    </row>
    <row r="33" spans="1:16">
      <c r="A33" s="22" t="s">
        <v>190</v>
      </c>
      <c r="B33" s="22" t="s">
        <v>191</v>
      </c>
      <c r="C33" s="23" t="s">
        <v>192</v>
      </c>
      <c r="D33" s="22" t="s">
        <v>74</v>
      </c>
      <c r="E33" s="22" t="s">
        <v>52</v>
      </c>
      <c r="F33" s="22" t="s">
        <v>33</v>
      </c>
      <c r="G33" s="23" t="s">
        <v>189</v>
      </c>
      <c r="H33" s="18" t="s">
        <v>23</v>
      </c>
      <c r="I33" s="25">
        <v>45408</v>
      </c>
      <c r="J33" s="26" t="s">
        <v>36</v>
      </c>
      <c r="K33" s="22" t="s">
        <v>37</v>
      </c>
      <c r="L33" s="27">
        <v>2.9</v>
      </c>
      <c r="M33" s="27">
        <v>9.8000000000000007</v>
      </c>
      <c r="N33" s="22" t="s">
        <v>26</v>
      </c>
      <c r="O33" s="22" t="s">
        <v>48</v>
      </c>
      <c r="P33" s="23" t="s">
        <v>117</v>
      </c>
    </row>
    <row r="34" spans="1:16" ht="26.4">
      <c r="A34" s="16" t="s">
        <v>193</v>
      </c>
      <c r="B34" s="16" t="s">
        <v>194</v>
      </c>
      <c r="C34" s="17" t="s">
        <v>195</v>
      </c>
      <c r="D34" s="16" t="s">
        <v>19</v>
      </c>
      <c r="E34" s="16" t="s">
        <v>20</v>
      </c>
      <c r="F34" s="16" t="s">
        <v>53</v>
      </c>
      <c r="G34" s="17" t="s">
        <v>196</v>
      </c>
      <c r="H34" s="18" t="s">
        <v>23</v>
      </c>
      <c r="I34" s="19">
        <v>45368</v>
      </c>
      <c r="J34" s="26" t="s">
        <v>36</v>
      </c>
      <c r="K34" s="16" t="s">
        <v>56</v>
      </c>
      <c r="L34" s="21">
        <v>2</v>
      </c>
      <c r="M34" s="21">
        <v>38</v>
      </c>
      <c r="N34" s="16" t="s">
        <v>26</v>
      </c>
      <c r="O34" s="16" t="s">
        <v>27</v>
      </c>
      <c r="P34" s="17" t="s">
        <v>197</v>
      </c>
    </row>
    <row r="35" spans="1:16">
      <c r="A35" s="22" t="s">
        <v>198</v>
      </c>
      <c r="B35" s="22" t="s">
        <v>199</v>
      </c>
      <c r="C35" s="23" t="s">
        <v>200</v>
      </c>
      <c r="D35" s="22" t="s">
        <v>68</v>
      </c>
      <c r="E35" s="22" t="s">
        <v>32</v>
      </c>
      <c r="F35" s="22" t="s">
        <v>21</v>
      </c>
      <c r="G35" s="23" t="s">
        <v>170</v>
      </c>
      <c r="H35" s="29" t="s">
        <v>55</v>
      </c>
      <c r="I35" s="25">
        <v>45355</v>
      </c>
      <c r="J35" s="26" t="s">
        <v>36</v>
      </c>
      <c r="K35" s="22" t="s">
        <v>25</v>
      </c>
      <c r="L35" s="27">
        <v>3.3</v>
      </c>
      <c r="M35" s="27">
        <v>17.399999999999999</v>
      </c>
      <c r="N35" s="22" t="s">
        <v>26</v>
      </c>
      <c r="O35" s="22" t="s">
        <v>48</v>
      </c>
      <c r="P35" s="23" t="s">
        <v>201</v>
      </c>
    </row>
    <row r="36" spans="1:16" ht="26.4">
      <c r="A36" s="16" t="s">
        <v>202</v>
      </c>
      <c r="B36" s="16" t="s">
        <v>203</v>
      </c>
      <c r="C36" s="17" t="s">
        <v>204</v>
      </c>
      <c r="D36" s="16" t="s">
        <v>68</v>
      </c>
      <c r="E36" s="16" t="s">
        <v>32</v>
      </c>
      <c r="F36" s="16" t="s">
        <v>163</v>
      </c>
      <c r="G36" s="17" t="s">
        <v>205</v>
      </c>
      <c r="H36" s="29" t="s">
        <v>55</v>
      </c>
      <c r="I36" s="19">
        <v>45536</v>
      </c>
      <c r="J36" s="26" t="s">
        <v>36</v>
      </c>
      <c r="K36" s="16" t="s">
        <v>165</v>
      </c>
      <c r="L36" s="21">
        <v>3.1</v>
      </c>
      <c r="M36" s="21">
        <v>20.8</v>
      </c>
      <c r="N36" s="16" t="s">
        <v>26</v>
      </c>
      <c r="O36" s="16" t="s">
        <v>48</v>
      </c>
      <c r="P36" s="17" t="s">
        <v>166</v>
      </c>
    </row>
    <row r="37" spans="1:16">
      <c r="A37" s="22" t="s">
        <v>206</v>
      </c>
      <c r="B37" s="22" t="s">
        <v>207</v>
      </c>
      <c r="C37" s="23" t="s">
        <v>208</v>
      </c>
      <c r="D37" s="22" t="s">
        <v>74</v>
      </c>
      <c r="E37" s="22" t="s">
        <v>52</v>
      </c>
      <c r="F37" s="22" t="s">
        <v>33</v>
      </c>
      <c r="G37" s="23" t="s">
        <v>209</v>
      </c>
      <c r="H37" s="18" t="s">
        <v>23</v>
      </c>
      <c r="I37" s="25">
        <v>45569</v>
      </c>
      <c r="J37" s="20" t="s">
        <v>24</v>
      </c>
      <c r="K37" s="22" t="s">
        <v>37</v>
      </c>
      <c r="L37" s="27">
        <v>2.9</v>
      </c>
      <c r="M37" s="27">
        <v>23.3</v>
      </c>
      <c r="N37" s="22" t="s">
        <v>26</v>
      </c>
      <c r="O37" s="22" t="s">
        <v>27</v>
      </c>
      <c r="P37" s="23" t="s">
        <v>210</v>
      </c>
    </row>
    <row r="38" spans="1:16" ht="26.4">
      <c r="A38" s="16" t="s">
        <v>211</v>
      </c>
      <c r="B38" s="16" t="s">
        <v>212</v>
      </c>
      <c r="C38" s="17" t="s">
        <v>213</v>
      </c>
      <c r="D38" s="16" t="s">
        <v>74</v>
      </c>
      <c r="E38" s="16" t="s">
        <v>20</v>
      </c>
      <c r="F38" s="16" t="s">
        <v>156</v>
      </c>
      <c r="G38" s="17" t="s">
        <v>157</v>
      </c>
      <c r="H38" s="29" t="s">
        <v>55</v>
      </c>
      <c r="I38" s="19">
        <v>45592</v>
      </c>
      <c r="J38" s="30" t="s">
        <v>62</v>
      </c>
      <c r="K38" s="16" t="s">
        <v>158</v>
      </c>
      <c r="L38" s="21">
        <v>0.6</v>
      </c>
      <c r="M38" s="21">
        <v>21.6</v>
      </c>
      <c r="N38" s="16" t="s">
        <v>63</v>
      </c>
      <c r="O38" s="16" t="s">
        <v>48</v>
      </c>
      <c r="P38" s="17" t="s">
        <v>214</v>
      </c>
    </row>
    <row r="39" spans="1:16">
      <c r="A39" s="22" t="s">
        <v>215</v>
      </c>
      <c r="B39" s="22" t="s">
        <v>216</v>
      </c>
      <c r="C39" s="23" t="s">
        <v>217</v>
      </c>
      <c r="D39" s="22" t="s">
        <v>19</v>
      </c>
      <c r="E39" s="22" t="s">
        <v>43</v>
      </c>
      <c r="F39" s="22" t="s">
        <v>163</v>
      </c>
      <c r="G39" s="23" t="s">
        <v>218</v>
      </c>
      <c r="H39" s="18" t="s">
        <v>23</v>
      </c>
      <c r="I39" s="25">
        <v>45572</v>
      </c>
      <c r="J39" s="26" t="s">
        <v>36</v>
      </c>
      <c r="K39" s="22" t="s">
        <v>165</v>
      </c>
      <c r="L39" s="27">
        <v>7.4</v>
      </c>
      <c r="M39" s="27">
        <v>27.5</v>
      </c>
      <c r="N39" s="22" t="s">
        <v>26</v>
      </c>
      <c r="O39" s="22" t="s">
        <v>27</v>
      </c>
      <c r="P39" s="23" t="s">
        <v>219</v>
      </c>
    </row>
    <row r="40" spans="1:16">
      <c r="A40" s="16" t="s">
        <v>220</v>
      </c>
      <c r="B40" s="16" t="s">
        <v>221</v>
      </c>
      <c r="C40" s="17" t="s">
        <v>222</v>
      </c>
      <c r="D40" s="16" t="s">
        <v>19</v>
      </c>
      <c r="E40" s="16" t="s">
        <v>52</v>
      </c>
      <c r="F40" s="16" t="s">
        <v>156</v>
      </c>
      <c r="G40" s="17" t="s">
        <v>223</v>
      </c>
      <c r="H40" s="29" t="s">
        <v>55</v>
      </c>
      <c r="I40" s="19">
        <v>45566</v>
      </c>
      <c r="J40" s="20" t="s">
        <v>24</v>
      </c>
      <c r="K40" s="16" t="s">
        <v>158</v>
      </c>
      <c r="L40" s="21">
        <v>1.9</v>
      </c>
      <c r="M40" s="21">
        <v>15.3</v>
      </c>
      <c r="N40" s="16" t="s">
        <v>63</v>
      </c>
      <c r="O40" s="16" t="s">
        <v>48</v>
      </c>
      <c r="P40" s="17" t="s">
        <v>159</v>
      </c>
    </row>
    <row r="41" spans="1:16" ht="26.4">
      <c r="A41" s="22" t="s">
        <v>224</v>
      </c>
      <c r="B41" s="22" t="s">
        <v>225</v>
      </c>
      <c r="C41" s="23" t="s">
        <v>226</v>
      </c>
      <c r="D41" s="22" t="s">
        <v>42</v>
      </c>
      <c r="E41" s="22" t="s">
        <v>32</v>
      </c>
      <c r="F41" s="22" t="s">
        <v>75</v>
      </c>
      <c r="G41" s="23" t="s">
        <v>227</v>
      </c>
      <c r="H41" s="29" t="s">
        <v>55</v>
      </c>
      <c r="I41" s="25">
        <v>45487</v>
      </c>
      <c r="J41" s="28" t="s">
        <v>46</v>
      </c>
      <c r="K41" s="22" t="s">
        <v>77</v>
      </c>
      <c r="L41" s="27">
        <v>3.8</v>
      </c>
      <c r="M41" s="27">
        <v>12.4</v>
      </c>
      <c r="N41" s="22" t="s">
        <v>26</v>
      </c>
      <c r="O41" s="22" t="s">
        <v>27</v>
      </c>
      <c r="P41" s="23" t="s">
        <v>228</v>
      </c>
    </row>
    <row r="42" spans="1:16" ht="26.4">
      <c r="A42" s="16" t="s">
        <v>229</v>
      </c>
      <c r="B42" s="16" t="s">
        <v>230</v>
      </c>
      <c r="C42" s="17" t="s">
        <v>231</v>
      </c>
      <c r="D42" s="16" t="s">
        <v>19</v>
      </c>
      <c r="E42" s="16" t="s">
        <v>52</v>
      </c>
      <c r="F42" s="16" t="s">
        <v>44</v>
      </c>
      <c r="G42" s="17" t="s">
        <v>45</v>
      </c>
      <c r="H42" s="29" t="s">
        <v>55</v>
      </c>
      <c r="I42" s="19">
        <v>45395</v>
      </c>
      <c r="J42" s="26" t="s">
        <v>36</v>
      </c>
      <c r="K42" s="16" t="s">
        <v>47</v>
      </c>
      <c r="L42" s="21">
        <v>2.7</v>
      </c>
      <c r="M42" s="21">
        <v>8.8000000000000007</v>
      </c>
      <c r="N42" s="16" t="s">
        <v>26</v>
      </c>
      <c r="O42" s="16" t="s">
        <v>27</v>
      </c>
      <c r="P42" s="17" t="s">
        <v>122</v>
      </c>
    </row>
    <row r="43" spans="1:16" ht="26.4">
      <c r="A43" s="22" t="s">
        <v>232</v>
      </c>
      <c r="B43" s="22" t="s">
        <v>233</v>
      </c>
      <c r="C43" s="23" t="s">
        <v>234</v>
      </c>
      <c r="D43" s="22" t="s">
        <v>19</v>
      </c>
      <c r="E43" s="22" t="s">
        <v>20</v>
      </c>
      <c r="F43" s="22" t="s">
        <v>44</v>
      </c>
      <c r="G43" s="23" t="s">
        <v>235</v>
      </c>
      <c r="H43" s="29" t="s">
        <v>55</v>
      </c>
      <c r="I43" s="25">
        <v>45376</v>
      </c>
      <c r="J43" s="30" t="s">
        <v>62</v>
      </c>
      <c r="K43" s="22" t="s">
        <v>47</v>
      </c>
      <c r="L43" s="27">
        <v>0.9</v>
      </c>
      <c r="M43" s="27">
        <v>4.5</v>
      </c>
      <c r="N43" s="22" t="s">
        <v>63</v>
      </c>
      <c r="O43" s="22" t="s">
        <v>27</v>
      </c>
      <c r="P43" s="23" t="s">
        <v>236</v>
      </c>
    </row>
    <row r="44" spans="1:16" ht="26.4">
      <c r="A44" s="16" t="s">
        <v>237</v>
      </c>
      <c r="B44" s="16" t="s">
        <v>238</v>
      </c>
      <c r="C44" s="17" t="s">
        <v>239</v>
      </c>
      <c r="D44" s="16" t="s">
        <v>42</v>
      </c>
      <c r="E44" s="16" t="s">
        <v>52</v>
      </c>
      <c r="F44" s="16" t="s">
        <v>44</v>
      </c>
      <c r="G44" s="17" t="s">
        <v>235</v>
      </c>
      <c r="H44" s="18" t="s">
        <v>23</v>
      </c>
      <c r="I44" s="19">
        <v>45447</v>
      </c>
      <c r="J44" s="30" t="s">
        <v>62</v>
      </c>
      <c r="K44" s="16" t="s">
        <v>47</v>
      </c>
      <c r="L44" s="21">
        <v>5.6</v>
      </c>
      <c r="M44" s="21">
        <v>12.8</v>
      </c>
      <c r="N44" s="16" t="s">
        <v>63</v>
      </c>
      <c r="O44" s="16" t="s">
        <v>93</v>
      </c>
      <c r="P44" s="17" t="s">
        <v>240</v>
      </c>
    </row>
    <row r="45" spans="1:16" ht="26.4">
      <c r="A45" s="22" t="s">
        <v>241</v>
      </c>
      <c r="B45" s="22" t="s">
        <v>242</v>
      </c>
      <c r="C45" s="23" t="s">
        <v>243</v>
      </c>
      <c r="D45" s="22" t="s">
        <v>19</v>
      </c>
      <c r="E45" s="22" t="s">
        <v>20</v>
      </c>
      <c r="F45" s="22" t="s">
        <v>44</v>
      </c>
      <c r="G45" s="23" t="s">
        <v>45</v>
      </c>
      <c r="H45" s="29" t="s">
        <v>55</v>
      </c>
      <c r="I45" s="25">
        <v>45543</v>
      </c>
      <c r="J45" s="28" t="s">
        <v>46</v>
      </c>
      <c r="K45" s="22" t="s">
        <v>47</v>
      </c>
      <c r="L45" s="27">
        <v>3.9</v>
      </c>
      <c r="M45" s="27">
        <v>16.7</v>
      </c>
      <c r="N45" s="22" t="s">
        <v>26</v>
      </c>
      <c r="O45" s="22" t="s">
        <v>48</v>
      </c>
      <c r="P45" s="23" t="s">
        <v>236</v>
      </c>
    </row>
    <row r="46" spans="1:16" ht="26.4">
      <c r="A46" s="16" t="s">
        <v>244</v>
      </c>
      <c r="B46" s="16" t="s">
        <v>245</v>
      </c>
      <c r="C46" s="17" t="s">
        <v>246</v>
      </c>
      <c r="D46" s="16" t="s">
        <v>68</v>
      </c>
      <c r="E46" s="16" t="s">
        <v>20</v>
      </c>
      <c r="F46" s="16" t="s">
        <v>156</v>
      </c>
      <c r="G46" s="17" t="s">
        <v>247</v>
      </c>
      <c r="H46" s="29" t="s">
        <v>55</v>
      </c>
      <c r="I46" s="19">
        <v>45531</v>
      </c>
      <c r="J46" s="26" t="s">
        <v>36</v>
      </c>
      <c r="K46" s="16" t="s">
        <v>158</v>
      </c>
      <c r="L46" s="21">
        <v>3.1</v>
      </c>
      <c r="M46" s="21">
        <v>9.4</v>
      </c>
      <c r="N46" s="16" t="s">
        <v>26</v>
      </c>
      <c r="O46" s="16" t="s">
        <v>93</v>
      </c>
      <c r="P46" s="17" t="s">
        <v>248</v>
      </c>
    </row>
    <row r="47" spans="1:16">
      <c r="A47" s="22" t="s">
        <v>249</v>
      </c>
      <c r="B47" s="22" t="s">
        <v>250</v>
      </c>
      <c r="C47" s="23" t="s">
        <v>251</v>
      </c>
      <c r="D47" s="22" t="s">
        <v>42</v>
      </c>
      <c r="E47" s="22" t="s">
        <v>32</v>
      </c>
      <c r="F47" s="22" t="s">
        <v>44</v>
      </c>
      <c r="G47" s="23" t="s">
        <v>252</v>
      </c>
      <c r="H47" s="18" t="s">
        <v>23</v>
      </c>
      <c r="I47" s="25">
        <v>45546</v>
      </c>
      <c r="J47" s="30" t="s">
        <v>62</v>
      </c>
      <c r="K47" s="22" t="s">
        <v>47</v>
      </c>
      <c r="L47" s="27">
        <v>3.1</v>
      </c>
      <c r="M47" s="27">
        <v>16.5</v>
      </c>
      <c r="N47" s="22" t="s">
        <v>63</v>
      </c>
      <c r="O47" s="22" t="s">
        <v>48</v>
      </c>
      <c r="P47" s="23" t="s">
        <v>49</v>
      </c>
    </row>
    <row r="48" spans="1:16" ht="26.4">
      <c r="A48" s="16" t="s">
        <v>253</v>
      </c>
      <c r="B48" s="16" t="s">
        <v>254</v>
      </c>
      <c r="C48" s="17" t="s">
        <v>255</v>
      </c>
      <c r="D48" s="16" t="s">
        <v>19</v>
      </c>
      <c r="E48" s="16" t="s">
        <v>20</v>
      </c>
      <c r="F48" s="16" t="s">
        <v>21</v>
      </c>
      <c r="G48" s="17" t="s">
        <v>170</v>
      </c>
      <c r="H48" s="24" t="s">
        <v>35</v>
      </c>
      <c r="I48" s="19">
        <v>45501</v>
      </c>
      <c r="J48" s="26" t="s">
        <v>36</v>
      </c>
      <c r="K48" s="16" t="s">
        <v>25</v>
      </c>
      <c r="L48" s="21">
        <v>19.2</v>
      </c>
      <c r="M48" s="21">
        <v>73.7</v>
      </c>
      <c r="N48" s="16" t="s">
        <v>26</v>
      </c>
      <c r="O48" s="16" t="s">
        <v>27</v>
      </c>
      <c r="P48" s="17" t="s">
        <v>28</v>
      </c>
    </row>
    <row r="49" spans="1:16" ht="26.4">
      <c r="A49" s="22" t="s">
        <v>256</v>
      </c>
      <c r="B49" s="22" t="s">
        <v>257</v>
      </c>
      <c r="C49" s="23" t="s">
        <v>258</v>
      </c>
      <c r="D49" s="22" t="s">
        <v>74</v>
      </c>
      <c r="E49" s="22" t="s">
        <v>20</v>
      </c>
      <c r="F49" s="22" t="s">
        <v>53</v>
      </c>
      <c r="G49" s="23" t="s">
        <v>259</v>
      </c>
      <c r="H49" s="18" t="s">
        <v>23</v>
      </c>
      <c r="I49" s="25">
        <v>45564</v>
      </c>
      <c r="J49" s="26" t="s">
        <v>36</v>
      </c>
      <c r="K49" s="22" t="s">
        <v>56</v>
      </c>
      <c r="L49" s="27">
        <v>8</v>
      </c>
      <c r="M49" s="27">
        <v>30</v>
      </c>
      <c r="N49" s="22" t="s">
        <v>26</v>
      </c>
      <c r="O49" s="22" t="s">
        <v>27</v>
      </c>
      <c r="P49" s="23" t="s">
        <v>57</v>
      </c>
    </row>
    <row r="50" spans="1:16" ht="26.4">
      <c r="A50" s="16" t="s">
        <v>260</v>
      </c>
      <c r="B50" s="16" t="s">
        <v>261</v>
      </c>
      <c r="C50" s="17" t="s">
        <v>262</v>
      </c>
      <c r="D50" s="16" t="s">
        <v>19</v>
      </c>
      <c r="E50" s="16" t="s">
        <v>32</v>
      </c>
      <c r="F50" s="16" t="s">
        <v>53</v>
      </c>
      <c r="G50" s="17" t="s">
        <v>61</v>
      </c>
      <c r="H50" s="24" t="s">
        <v>35</v>
      </c>
      <c r="I50" s="19">
        <v>45540</v>
      </c>
      <c r="J50" s="28" t="s">
        <v>46</v>
      </c>
      <c r="K50" s="16" t="s">
        <v>56</v>
      </c>
      <c r="L50" s="21">
        <v>15.8</v>
      </c>
      <c r="M50" s="21">
        <v>78.7</v>
      </c>
      <c r="N50" s="16" t="s">
        <v>26</v>
      </c>
      <c r="O50" s="16" t="s">
        <v>93</v>
      </c>
      <c r="P50" s="17" t="s">
        <v>263</v>
      </c>
    </row>
    <row r="51" spans="1:16" ht="26.4">
      <c r="A51" s="22" t="s">
        <v>264</v>
      </c>
      <c r="B51" s="22" t="s">
        <v>265</v>
      </c>
      <c r="C51" s="23" t="s">
        <v>266</v>
      </c>
      <c r="D51" s="22" t="s">
        <v>42</v>
      </c>
      <c r="E51" s="22" t="s">
        <v>20</v>
      </c>
      <c r="F51" s="22" t="s">
        <v>44</v>
      </c>
      <c r="G51" s="23" t="s">
        <v>267</v>
      </c>
      <c r="H51" s="24" t="s">
        <v>35</v>
      </c>
      <c r="I51" s="25">
        <v>45320</v>
      </c>
      <c r="J51" s="26" t="s">
        <v>36</v>
      </c>
      <c r="K51" s="22" t="s">
        <v>47</v>
      </c>
      <c r="L51" s="27">
        <v>17.899999999999999</v>
      </c>
      <c r="M51" s="27">
        <v>33.1</v>
      </c>
      <c r="N51" s="22" t="s">
        <v>26</v>
      </c>
      <c r="O51" s="22" t="s">
        <v>27</v>
      </c>
      <c r="P51" s="23" t="s">
        <v>240</v>
      </c>
    </row>
    <row r="52" spans="1:16">
      <c r="A52" s="16" t="s">
        <v>268</v>
      </c>
      <c r="B52" s="16" t="s">
        <v>269</v>
      </c>
      <c r="C52" s="17" t="s">
        <v>270</v>
      </c>
      <c r="D52" s="16" t="s">
        <v>74</v>
      </c>
      <c r="E52" s="16" t="s">
        <v>32</v>
      </c>
      <c r="F52" s="16" t="s">
        <v>163</v>
      </c>
      <c r="G52" s="17" t="s">
        <v>271</v>
      </c>
      <c r="H52" s="29" t="s">
        <v>55</v>
      </c>
      <c r="I52" s="19">
        <v>45537</v>
      </c>
      <c r="J52" s="28" t="s">
        <v>46</v>
      </c>
      <c r="K52" s="16" t="s">
        <v>165</v>
      </c>
      <c r="L52" s="21">
        <v>0.7</v>
      </c>
      <c r="M52" s="21">
        <v>13.8</v>
      </c>
      <c r="N52" s="16" t="s">
        <v>26</v>
      </c>
      <c r="O52" s="16" t="s">
        <v>48</v>
      </c>
      <c r="P52" s="17" t="s">
        <v>272</v>
      </c>
    </row>
    <row r="53" spans="1:16">
      <c r="A53" s="22" t="s">
        <v>273</v>
      </c>
      <c r="B53" s="22" t="s">
        <v>274</v>
      </c>
      <c r="C53" s="23" t="s">
        <v>275</v>
      </c>
      <c r="D53" s="22" t="s">
        <v>68</v>
      </c>
      <c r="E53" s="22" t="s">
        <v>20</v>
      </c>
      <c r="F53" s="22" t="s">
        <v>33</v>
      </c>
      <c r="G53" s="23" t="s">
        <v>276</v>
      </c>
      <c r="H53" s="29" t="s">
        <v>55</v>
      </c>
      <c r="I53" s="25">
        <v>45603</v>
      </c>
      <c r="J53" s="26" t="s">
        <v>36</v>
      </c>
      <c r="K53" s="22" t="s">
        <v>37</v>
      </c>
      <c r="L53" s="27">
        <v>2.7</v>
      </c>
      <c r="M53" s="27">
        <v>19.5</v>
      </c>
      <c r="N53" s="22" t="s">
        <v>26</v>
      </c>
      <c r="O53" s="22" t="s">
        <v>93</v>
      </c>
      <c r="P53" s="23" t="s">
        <v>146</v>
      </c>
    </row>
    <row r="54" spans="1:16">
      <c r="A54" s="16" t="s">
        <v>277</v>
      </c>
      <c r="B54" s="16" t="s">
        <v>278</v>
      </c>
      <c r="C54" s="17" t="s">
        <v>279</v>
      </c>
      <c r="D54" s="16" t="s">
        <v>74</v>
      </c>
      <c r="E54" s="16" t="s">
        <v>20</v>
      </c>
      <c r="F54" s="16" t="s">
        <v>163</v>
      </c>
      <c r="G54" s="17" t="s">
        <v>280</v>
      </c>
      <c r="H54" s="29" t="s">
        <v>55</v>
      </c>
      <c r="I54" s="19">
        <v>45399</v>
      </c>
      <c r="J54" s="26" t="s">
        <v>36</v>
      </c>
      <c r="K54" s="16" t="s">
        <v>165</v>
      </c>
      <c r="L54" s="21">
        <v>1.4</v>
      </c>
      <c r="M54" s="21">
        <v>5.6</v>
      </c>
      <c r="N54" s="16" t="s">
        <v>26</v>
      </c>
      <c r="O54" s="16" t="s">
        <v>48</v>
      </c>
      <c r="P54" s="17" t="s">
        <v>272</v>
      </c>
    </row>
    <row r="55" spans="1:16" ht="26.4">
      <c r="A55" s="22" t="s">
        <v>281</v>
      </c>
      <c r="B55" s="22" t="s">
        <v>282</v>
      </c>
      <c r="C55" s="23" t="s">
        <v>283</v>
      </c>
      <c r="D55" s="22" t="s">
        <v>19</v>
      </c>
      <c r="E55" s="22" t="s">
        <v>32</v>
      </c>
      <c r="F55" s="22" t="s">
        <v>21</v>
      </c>
      <c r="G55" s="23" t="s">
        <v>138</v>
      </c>
      <c r="H55" s="18" t="s">
        <v>23</v>
      </c>
      <c r="I55" s="25">
        <v>45652</v>
      </c>
      <c r="J55" s="30" t="s">
        <v>62</v>
      </c>
      <c r="K55" s="22" t="s">
        <v>25</v>
      </c>
      <c r="L55" s="27">
        <v>2.4</v>
      </c>
      <c r="M55" s="27">
        <v>17.3</v>
      </c>
      <c r="N55" s="22" t="s">
        <v>63</v>
      </c>
      <c r="O55" s="22" t="s">
        <v>27</v>
      </c>
      <c r="P55" s="23" t="s">
        <v>99</v>
      </c>
    </row>
    <row r="56" spans="1:16" ht="26.4">
      <c r="A56" s="16" t="s">
        <v>284</v>
      </c>
      <c r="B56" s="16" t="s">
        <v>285</v>
      </c>
      <c r="C56" s="17" t="s">
        <v>286</v>
      </c>
      <c r="D56" s="16" t="s">
        <v>42</v>
      </c>
      <c r="E56" s="16" t="s">
        <v>20</v>
      </c>
      <c r="F56" s="16" t="s">
        <v>33</v>
      </c>
      <c r="G56" s="17" t="s">
        <v>287</v>
      </c>
      <c r="H56" s="29" t="s">
        <v>55</v>
      </c>
      <c r="I56" s="19">
        <v>45365</v>
      </c>
      <c r="J56" s="20" t="s">
        <v>24</v>
      </c>
      <c r="K56" s="16" t="s">
        <v>37</v>
      </c>
      <c r="L56" s="21">
        <v>1.1000000000000001</v>
      </c>
      <c r="M56" s="21">
        <v>10.199999999999999</v>
      </c>
      <c r="N56" s="16" t="s">
        <v>26</v>
      </c>
      <c r="O56" s="16" t="s">
        <v>48</v>
      </c>
      <c r="P56" s="17" t="s">
        <v>146</v>
      </c>
    </row>
    <row r="57" spans="1:16" ht="26.4">
      <c r="A57" s="22" t="s">
        <v>288</v>
      </c>
      <c r="B57" s="22" t="s">
        <v>289</v>
      </c>
      <c r="C57" s="23" t="s">
        <v>290</v>
      </c>
      <c r="D57" s="22" t="s">
        <v>19</v>
      </c>
      <c r="E57" s="22" t="s">
        <v>52</v>
      </c>
      <c r="F57" s="22" t="s">
        <v>163</v>
      </c>
      <c r="G57" s="23" t="s">
        <v>291</v>
      </c>
      <c r="H57" s="18" t="s">
        <v>23</v>
      </c>
      <c r="I57" s="25">
        <v>45517</v>
      </c>
      <c r="J57" s="20" t="s">
        <v>24</v>
      </c>
      <c r="K57" s="22" t="s">
        <v>165</v>
      </c>
      <c r="L57" s="27">
        <v>2.2000000000000002</v>
      </c>
      <c r="M57" s="27">
        <v>25.3</v>
      </c>
      <c r="N57" s="22" t="s">
        <v>26</v>
      </c>
      <c r="O57" s="22" t="s">
        <v>27</v>
      </c>
      <c r="P57" s="23" t="s">
        <v>292</v>
      </c>
    </row>
    <row r="58" spans="1:16">
      <c r="A58" s="16" t="s">
        <v>293</v>
      </c>
      <c r="B58" s="16" t="s">
        <v>294</v>
      </c>
      <c r="C58" s="17" t="s">
        <v>295</v>
      </c>
      <c r="D58" s="16" t="s">
        <v>68</v>
      </c>
      <c r="E58" s="16" t="s">
        <v>52</v>
      </c>
      <c r="F58" s="16" t="s">
        <v>21</v>
      </c>
      <c r="G58" s="17" t="s">
        <v>138</v>
      </c>
      <c r="H58" s="18" t="s">
        <v>23</v>
      </c>
      <c r="I58" s="19">
        <v>45382</v>
      </c>
      <c r="J58" s="26" t="s">
        <v>36</v>
      </c>
      <c r="K58" s="16" t="s">
        <v>25</v>
      </c>
      <c r="L58" s="21">
        <v>5.9</v>
      </c>
      <c r="M58" s="21">
        <v>44.6</v>
      </c>
      <c r="N58" s="16" t="s">
        <v>26</v>
      </c>
      <c r="O58" s="16" t="s">
        <v>48</v>
      </c>
      <c r="P58" s="17" t="s">
        <v>201</v>
      </c>
    </row>
    <row r="59" spans="1:16">
      <c r="A59" s="22" t="s">
        <v>296</v>
      </c>
      <c r="B59" s="22" t="s">
        <v>297</v>
      </c>
      <c r="C59" s="23" t="s">
        <v>298</v>
      </c>
      <c r="D59" s="22" t="s">
        <v>74</v>
      </c>
      <c r="E59" s="22" t="s">
        <v>32</v>
      </c>
      <c r="F59" s="22" t="s">
        <v>21</v>
      </c>
      <c r="G59" s="23" t="s">
        <v>299</v>
      </c>
      <c r="H59" s="18" t="s">
        <v>23</v>
      </c>
      <c r="I59" s="25">
        <v>45648</v>
      </c>
      <c r="J59" s="26" t="s">
        <v>36</v>
      </c>
      <c r="K59" s="22" t="s">
        <v>25</v>
      </c>
      <c r="L59" s="27">
        <v>6</v>
      </c>
      <c r="M59" s="27">
        <v>24</v>
      </c>
      <c r="N59" s="22" t="s">
        <v>26</v>
      </c>
      <c r="O59" s="22" t="s">
        <v>27</v>
      </c>
      <c r="P59" s="23" t="s">
        <v>300</v>
      </c>
    </row>
    <row r="60" spans="1:16" ht="26.4">
      <c r="A60" s="16" t="s">
        <v>301</v>
      </c>
      <c r="B60" s="16" t="s">
        <v>302</v>
      </c>
      <c r="C60" s="17" t="s">
        <v>303</v>
      </c>
      <c r="D60" s="16" t="s">
        <v>42</v>
      </c>
      <c r="E60" s="16" t="s">
        <v>52</v>
      </c>
      <c r="F60" s="16" t="s">
        <v>156</v>
      </c>
      <c r="G60" s="17" t="s">
        <v>304</v>
      </c>
      <c r="H60" s="18" t="s">
        <v>23</v>
      </c>
      <c r="I60" s="19">
        <v>45570</v>
      </c>
      <c r="J60" s="26" t="s">
        <v>36</v>
      </c>
      <c r="K60" s="16" t="s">
        <v>158</v>
      </c>
      <c r="L60" s="21">
        <v>2.2999999999999998</v>
      </c>
      <c r="M60" s="21">
        <v>28.7</v>
      </c>
      <c r="N60" s="16" t="s">
        <v>26</v>
      </c>
      <c r="O60" s="16" t="s">
        <v>27</v>
      </c>
      <c r="P60" s="17" t="s">
        <v>214</v>
      </c>
    </row>
    <row r="61" spans="1:16" ht="26.4">
      <c r="A61" s="22" t="s">
        <v>305</v>
      </c>
      <c r="B61" s="22" t="s">
        <v>306</v>
      </c>
      <c r="C61" s="23" t="s">
        <v>307</v>
      </c>
      <c r="D61" s="22" t="s">
        <v>74</v>
      </c>
      <c r="E61" s="22" t="s">
        <v>97</v>
      </c>
      <c r="F61" s="22" t="s">
        <v>75</v>
      </c>
      <c r="G61" s="23" t="s">
        <v>111</v>
      </c>
      <c r="H61" s="24" t="s">
        <v>35</v>
      </c>
      <c r="I61" s="25">
        <v>45615</v>
      </c>
      <c r="J61" s="26" t="s">
        <v>36</v>
      </c>
      <c r="K61" s="22" t="s">
        <v>77</v>
      </c>
      <c r="L61" s="27">
        <v>8.8000000000000007</v>
      </c>
      <c r="M61" s="27">
        <v>35.4</v>
      </c>
      <c r="N61" s="22" t="s">
        <v>26</v>
      </c>
      <c r="O61" s="22" t="s">
        <v>48</v>
      </c>
      <c r="P61" s="23" t="s">
        <v>78</v>
      </c>
    </row>
    <row r="62" spans="1:16" ht="26.4">
      <c r="A62" s="16" t="s">
        <v>308</v>
      </c>
      <c r="B62" s="16" t="s">
        <v>309</v>
      </c>
      <c r="C62" s="17" t="s">
        <v>310</v>
      </c>
      <c r="D62" s="16" t="s">
        <v>42</v>
      </c>
      <c r="E62" s="16" t="s">
        <v>97</v>
      </c>
      <c r="F62" s="16" t="s">
        <v>44</v>
      </c>
      <c r="G62" s="17" t="s">
        <v>311</v>
      </c>
      <c r="H62" s="18" t="s">
        <v>23</v>
      </c>
      <c r="I62" s="19">
        <v>45442</v>
      </c>
      <c r="J62" s="26" t="s">
        <v>36</v>
      </c>
      <c r="K62" s="16" t="s">
        <v>47</v>
      </c>
      <c r="L62" s="21">
        <v>3.6</v>
      </c>
      <c r="M62" s="21">
        <v>41.4</v>
      </c>
      <c r="N62" s="16" t="s">
        <v>26</v>
      </c>
      <c r="O62" s="16" t="s">
        <v>27</v>
      </c>
      <c r="P62" s="17" t="s">
        <v>312</v>
      </c>
    </row>
    <row r="63" spans="1:16">
      <c r="A63" s="22" t="s">
        <v>313</v>
      </c>
      <c r="B63" s="22" t="s">
        <v>314</v>
      </c>
      <c r="C63" s="23" t="s">
        <v>315</v>
      </c>
      <c r="D63" s="22" t="s">
        <v>68</v>
      </c>
      <c r="E63" s="22" t="s">
        <v>32</v>
      </c>
      <c r="F63" s="22" t="s">
        <v>156</v>
      </c>
      <c r="G63" s="23" t="s">
        <v>316</v>
      </c>
      <c r="H63" s="24" t="s">
        <v>35</v>
      </c>
      <c r="I63" s="25">
        <v>45505</v>
      </c>
      <c r="J63" s="26" t="s">
        <v>36</v>
      </c>
      <c r="K63" s="22" t="s">
        <v>158</v>
      </c>
      <c r="L63" s="27">
        <v>19.8</v>
      </c>
      <c r="M63" s="27">
        <v>43.2</v>
      </c>
      <c r="N63" s="22" t="s">
        <v>63</v>
      </c>
      <c r="O63" s="22" t="s">
        <v>48</v>
      </c>
      <c r="P63" s="23" t="s">
        <v>317</v>
      </c>
    </row>
    <row r="64" spans="1:16" ht="26.4">
      <c r="A64" s="16" t="s">
        <v>318</v>
      </c>
      <c r="B64" s="16" t="s">
        <v>319</v>
      </c>
      <c r="C64" s="17" t="s">
        <v>320</v>
      </c>
      <c r="D64" s="16" t="s">
        <v>68</v>
      </c>
      <c r="E64" s="16" t="s">
        <v>32</v>
      </c>
      <c r="F64" s="16" t="s">
        <v>75</v>
      </c>
      <c r="G64" s="17" t="s">
        <v>227</v>
      </c>
      <c r="H64" s="18" t="s">
        <v>23</v>
      </c>
      <c r="I64" s="19">
        <v>45571</v>
      </c>
      <c r="J64" s="26" t="s">
        <v>36</v>
      </c>
      <c r="K64" s="16" t="s">
        <v>77</v>
      </c>
      <c r="L64" s="21">
        <v>7.6</v>
      </c>
      <c r="M64" s="21">
        <v>42.8</v>
      </c>
      <c r="N64" s="16" t="s">
        <v>26</v>
      </c>
      <c r="O64" s="16" t="s">
        <v>27</v>
      </c>
      <c r="P64" s="17" t="s">
        <v>321</v>
      </c>
    </row>
    <row r="65" spans="1:16" ht="26.4">
      <c r="A65" s="22" t="s">
        <v>322</v>
      </c>
      <c r="B65" s="22" t="s">
        <v>323</v>
      </c>
      <c r="C65" s="23" t="s">
        <v>324</v>
      </c>
      <c r="D65" s="22" t="s">
        <v>74</v>
      </c>
      <c r="E65" s="22" t="s">
        <v>32</v>
      </c>
      <c r="F65" s="22" t="s">
        <v>75</v>
      </c>
      <c r="G65" s="23" t="s">
        <v>325</v>
      </c>
      <c r="H65" s="18" t="s">
        <v>23</v>
      </c>
      <c r="I65" s="25">
        <v>45632</v>
      </c>
      <c r="J65" s="26" t="s">
        <v>36</v>
      </c>
      <c r="K65" s="22" t="s">
        <v>77</v>
      </c>
      <c r="L65" s="27">
        <v>5.9</v>
      </c>
      <c r="M65" s="27">
        <v>14.1</v>
      </c>
      <c r="N65" s="22" t="s">
        <v>26</v>
      </c>
      <c r="O65" s="22" t="s">
        <v>27</v>
      </c>
      <c r="P65" s="23" t="s">
        <v>326</v>
      </c>
    </row>
    <row r="66" spans="1:16">
      <c r="A66" s="16" t="s">
        <v>327</v>
      </c>
      <c r="B66" s="16" t="s">
        <v>328</v>
      </c>
      <c r="C66" s="17" t="s">
        <v>329</v>
      </c>
      <c r="D66" s="16" t="s">
        <v>68</v>
      </c>
      <c r="E66" s="16" t="s">
        <v>32</v>
      </c>
      <c r="F66" s="16" t="s">
        <v>44</v>
      </c>
      <c r="G66" s="17" t="s">
        <v>330</v>
      </c>
      <c r="H66" s="24" t="s">
        <v>35</v>
      </c>
      <c r="I66" s="19">
        <v>45366</v>
      </c>
      <c r="J66" s="26" t="s">
        <v>36</v>
      </c>
      <c r="K66" s="16" t="s">
        <v>47</v>
      </c>
      <c r="L66" s="21">
        <v>17.100000000000001</v>
      </c>
      <c r="M66" s="21">
        <v>35.1</v>
      </c>
      <c r="N66" s="16" t="s">
        <v>26</v>
      </c>
      <c r="O66" s="16" t="s">
        <v>93</v>
      </c>
      <c r="P66" s="17" t="s">
        <v>49</v>
      </c>
    </row>
    <row r="67" spans="1:16" ht="26.4">
      <c r="A67" s="22" t="s">
        <v>331</v>
      </c>
      <c r="B67" s="22" t="s">
        <v>332</v>
      </c>
      <c r="C67" s="23" t="s">
        <v>333</v>
      </c>
      <c r="D67" s="22" t="s">
        <v>19</v>
      </c>
      <c r="E67" s="22" t="s">
        <v>43</v>
      </c>
      <c r="F67" s="22" t="s">
        <v>156</v>
      </c>
      <c r="G67" s="23" t="s">
        <v>247</v>
      </c>
      <c r="H67" s="18" t="s">
        <v>23</v>
      </c>
      <c r="I67" s="25">
        <v>45455</v>
      </c>
      <c r="J67" s="26" t="s">
        <v>36</v>
      </c>
      <c r="K67" s="22" t="s">
        <v>158</v>
      </c>
      <c r="L67" s="27">
        <v>7.3</v>
      </c>
      <c r="M67" s="27">
        <v>27.5</v>
      </c>
      <c r="N67" s="22" t="s">
        <v>26</v>
      </c>
      <c r="O67" s="22" t="s">
        <v>48</v>
      </c>
      <c r="P67" s="23" t="s">
        <v>334</v>
      </c>
    </row>
    <row r="68" spans="1:16" ht="26.4">
      <c r="A68" s="16" t="s">
        <v>335</v>
      </c>
      <c r="B68" s="16" t="s">
        <v>336</v>
      </c>
      <c r="C68" s="17" t="s">
        <v>337</v>
      </c>
      <c r="D68" s="16" t="s">
        <v>42</v>
      </c>
      <c r="E68" s="16" t="s">
        <v>20</v>
      </c>
      <c r="F68" s="16" t="s">
        <v>21</v>
      </c>
      <c r="G68" s="17" t="s">
        <v>22</v>
      </c>
      <c r="H68" s="29" t="s">
        <v>55</v>
      </c>
      <c r="I68" s="19">
        <v>45653</v>
      </c>
      <c r="J68" s="30" t="s">
        <v>62</v>
      </c>
      <c r="K68" s="16" t="s">
        <v>25</v>
      </c>
      <c r="L68" s="21">
        <v>2.1</v>
      </c>
      <c r="M68" s="21">
        <v>17.899999999999999</v>
      </c>
      <c r="N68" s="16" t="s">
        <v>63</v>
      </c>
      <c r="O68" s="16" t="s">
        <v>93</v>
      </c>
      <c r="P68" s="17" t="s">
        <v>28</v>
      </c>
    </row>
    <row r="69" spans="1:16" ht="26.4">
      <c r="A69" s="22" t="s">
        <v>338</v>
      </c>
      <c r="B69" s="22" t="s">
        <v>339</v>
      </c>
      <c r="C69" s="23" t="s">
        <v>340</v>
      </c>
      <c r="D69" s="22" t="s">
        <v>42</v>
      </c>
      <c r="E69" s="22" t="s">
        <v>32</v>
      </c>
      <c r="F69" s="22" t="s">
        <v>21</v>
      </c>
      <c r="G69" s="23" t="s">
        <v>92</v>
      </c>
      <c r="H69" s="18" t="s">
        <v>23</v>
      </c>
      <c r="I69" s="25">
        <v>45642</v>
      </c>
      <c r="J69" s="26" t="s">
        <v>36</v>
      </c>
      <c r="K69" s="22" t="s">
        <v>25</v>
      </c>
      <c r="L69" s="27">
        <v>3</v>
      </c>
      <c r="M69" s="27">
        <v>11.2</v>
      </c>
      <c r="N69" s="22" t="s">
        <v>26</v>
      </c>
      <c r="O69" s="22" t="s">
        <v>48</v>
      </c>
      <c r="P69" s="23" t="s">
        <v>107</v>
      </c>
    </row>
    <row r="70" spans="1:16">
      <c r="A70" s="16" t="s">
        <v>341</v>
      </c>
      <c r="B70" s="16" t="s">
        <v>342</v>
      </c>
      <c r="C70" s="17" t="s">
        <v>343</v>
      </c>
      <c r="D70" s="16" t="s">
        <v>42</v>
      </c>
      <c r="E70" s="16" t="s">
        <v>32</v>
      </c>
      <c r="F70" s="16" t="s">
        <v>33</v>
      </c>
      <c r="G70" s="17" t="s">
        <v>103</v>
      </c>
      <c r="H70" s="18" t="s">
        <v>23</v>
      </c>
      <c r="I70" s="19">
        <v>45531</v>
      </c>
      <c r="J70" s="30" t="s">
        <v>62</v>
      </c>
      <c r="K70" s="16" t="s">
        <v>37</v>
      </c>
      <c r="L70" s="21">
        <v>6.1</v>
      </c>
      <c r="M70" s="21">
        <v>14.3</v>
      </c>
      <c r="N70" s="16" t="s">
        <v>63</v>
      </c>
      <c r="O70" s="16" t="s">
        <v>27</v>
      </c>
      <c r="P70" s="17" t="s">
        <v>38</v>
      </c>
    </row>
    <row r="71" spans="1:16">
      <c r="A71" s="22" t="s">
        <v>344</v>
      </c>
      <c r="B71" s="22" t="s">
        <v>345</v>
      </c>
      <c r="C71" s="23" t="s">
        <v>346</v>
      </c>
      <c r="D71" s="22" t="s">
        <v>68</v>
      </c>
      <c r="E71" s="22" t="s">
        <v>52</v>
      </c>
      <c r="F71" s="22" t="s">
        <v>75</v>
      </c>
      <c r="G71" s="23" t="s">
        <v>347</v>
      </c>
      <c r="H71" s="24" t="s">
        <v>35</v>
      </c>
      <c r="I71" s="25">
        <v>45489</v>
      </c>
      <c r="J71" s="30" t="s">
        <v>62</v>
      </c>
      <c r="K71" s="22" t="s">
        <v>77</v>
      </c>
      <c r="L71" s="27">
        <v>6.1</v>
      </c>
      <c r="M71" s="27">
        <v>51.5</v>
      </c>
      <c r="N71" s="22" t="s">
        <v>63</v>
      </c>
      <c r="O71" s="22" t="s">
        <v>27</v>
      </c>
      <c r="P71" s="23" t="s">
        <v>348</v>
      </c>
    </row>
    <row r="72" spans="1:16" ht="26.4">
      <c r="A72" s="16" t="s">
        <v>349</v>
      </c>
      <c r="B72" s="16" t="s">
        <v>350</v>
      </c>
      <c r="C72" s="17" t="s">
        <v>351</v>
      </c>
      <c r="D72" s="16" t="s">
        <v>19</v>
      </c>
      <c r="E72" s="16" t="s">
        <v>20</v>
      </c>
      <c r="F72" s="16" t="s">
        <v>44</v>
      </c>
      <c r="G72" s="17" t="s">
        <v>45</v>
      </c>
      <c r="H72" s="29" t="s">
        <v>55</v>
      </c>
      <c r="I72" s="19">
        <v>45547</v>
      </c>
      <c r="J72" s="26" t="s">
        <v>36</v>
      </c>
      <c r="K72" s="16" t="s">
        <v>47</v>
      </c>
      <c r="L72" s="21">
        <v>3.7</v>
      </c>
      <c r="M72" s="21">
        <v>19.5</v>
      </c>
      <c r="N72" s="16" t="s">
        <v>26</v>
      </c>
      <c r="O72" s="16" t="s">
        <v>93</v>
      </c>
      <c r="P72" s="17" t="s">
        <v>122</v>
      </c>
    </row>
    <row r="73" spans="1:16" ht="26.4">
      <c r="A73" s="22" t="s">
        <v>352</v>
      </c>
      <c r="B73" s="22" t="s">
        <v>353</v>
      </c>
      <c r="C73" s="23" t="s">
        <v>354</v>
      </c>
      <c r="D73" s="22" t="s">
        <v>42</v>
      </c>
      <c r="E73" s="22" t="s">
        <v>52</v>
      </c>
      <c r="F73" s="22" t="s">
        <v>53</v>
      </c>
      <c r="G73" s="23" t="s">
        <v>61</v>
      </c>
      <c r="H73" s="18" t="s">
        <v>23</v>
      </c>
      <c r="I73" s="25">
        <v>45614</v>
      </c>
      <c r="J73" s="26" t="s">
        <v>36</v>
      </c>
      <c r="K73" s="22" t="s">
        <v>56</v>
      </c>
      <c r="L73" s="27">
        <v>3.9</v>
      </c>
      <c r="M73" s="27">
        <v>25.6</v>
      </c>
      <c r="N73" s="22" t="s">
        <v>26</v>
      </c>
      <c r="O73" s="22" t="s">
        <v>48</v>
      </c>
      <c r="P73" s="23" t="s">
        <v>355</v>
      </c>
    </row>
    <row r="74" spans="1:16" ht="26.4">
      <c r="A74" s="16" t="s">
        <v>356</v>
      </c>
      <c r="B74" s="16" t="s">
        <v>357</v>
      </c>
      <c r="C74" s="17" t="s">
        <v>358</v>
      </c>
      <c r="D74" s="16" t="s">
        <v>74</v>
      </c>
      <c r="E74" s="16" t="s">
        <v>20</v>
      </c>
      <c r="F74" s="16" t="s">
        <v>156</v>
      </c>
      <c r="G74" s="17" t="s">
        <v>359</v>
      </c>
      <c r="H74" s="18" t="s">
        <v>23</v>
      </c>
      <c r="I74" s="19">
        <v>45432</v>
      </c>
      <c r="J74" s="26" t="s">
        <v>36</v>
      </c>
      <c r="K74" s="16" t="s">
        <v>158</v>
      </c>
      <c r="L74" s="21">
        <v>3.5</v>
      </c>
      <c r="M74" s="21">
        <v>41</v>
      </c>
      <c r="N74" s="16" t="s">
        <v>26</v>
      </c>
      <c r="O74" s="16" t="s">
        <v>93</v>
      </c>
      <c r="P74" s="17" t="s">
        <v>360</v>
      </c>
    </row>
    <row r="75" spans="1:16" ht="26.4">
      <c r="A75" s="22" t="s">
        <v>361</v>
      </c>
      <c r="B75" s="22" t="s">
        <v>362</v>
      </c>
      <c r="C75" s="23" t="s">
        <v>363</v>
      </c>
      <c r="D75" s="22" t="s">
        <v>42</v>
      </c>
      <c r="E75" s="22" t="s">
        <v>97</v>
      </c>
      <c r="F75" s="22" t="s">
        <v>156</v>
      </c>
      <c r="G75" s="23" t="s">
        <v>157</v>
      </c>
      <c r="H75" s="29" t="s">
        <v>55</v>
      </c>
      <c r="I75" s="25">
        <v>45578</v>
      </c>
      <c r="J75" s="26" t="s">
        <v>36</v>
      </c>
      <c r="K75" s="22" t="s">
        <v>158</v>
      </c>
      <c r="L75" s="27">
        <v>3.3</v>
      </c>
      <c r="M75" s="27">
        <v>4.3</v>
      </c>
      <c r="N75" s="22" t="s">
        <v>26</v>
      </c>
      <c r="O75" s="22" t="s">
        <v>27</v>
      </c>
      <c r="P75" s="23" t="s">
        <v>364</v>
      </c>
    </row>
    <row r="76" spans="1:16" ht="26.4">
      <c r="A76" s="16" t="s">
        <v>365</v>
      </c>
      <c r="B76" s="16" t="s">
        <v>366</v>
      </c>
      <c r="C76" s="17" t="s">
        <v>367</v>
      </c>
      <c r="D76" s="16" t="s">
        <v>19</v>
      </c>
      <c r="E76" s="16" t="s">
        <v>32</v>
      </c>
      <c r="F76" s="16" t="s">
        <v>53</v>
      </c>
      <c r="G76" s="17" t="s">
        <v>196</v>
      </c>
      <c r="H76" s="24" t="s">
        <v>35</v>
      </c>
      <c r="I76" s="19">
        <v>45580</v>
      </c>
      <c r="J76" s="26" t="s">
        <v>36</v>
      </c>
      <c r="K76" s="16" t="s">
        <v>56</v>
      </c>
      <c r="L76" s="21">
        <v>16.2</v>
      </c>
      <c r="M76" s="21">
        <v>70.599999999999994</v>
      </c>
      <c r="N76" s="16" t="s">
        <v>26</v>
      </c>
      <c r="O76" s="16" t="s">
        <v>27</v>
      </c>
      <c r="P76" s="17" t="s">
        <v>57</v>
      </c>
    </row>
    <row r="77" spans="1:16" ht="26.4">
      <c r="A77" s="22" t="s">
        <v>368</v>
      </c>
      <c r="B77" s="22" t="s">
        <v>369</v>
      </c>
      <c r="C77" s="23" t="s">
        <v>370</v>
      </c>
      <c r="D77" s="22" t="s">
        <v>42</v>
      </c>
      <c r="E77" s="22" t="s">
        <v>97</v>
      </c>
      <c r="F77" s="22" t="s">
        <v>33</v>
      </c>
      <c r="G77" s="23" t="s">
        <v>371</v>
      </c>
      <c r="H77" s="24" t="s">
        <v>35</v>
      </c>
      <c r="I77" s="25">
        <v>45413</v>
      </c>
      <c r="J77" s="30" t="s">
        <v>62</v>
      </c>
      <c r="K77" s="22" t="s">
        <v>37</v>
      </c>
      <c r="L77" s="27">
        <v>6.7</v>
      </c>
      <c r="M77" s="27">
        <v>56.7</v>
      </c>
      <c r="N77" s="22" t="s">
        <v>63</v>
      </c>
      <c r="O77" s="22" t="s">
        <v>48</v>
      </c>
      <c r="P77" s="23" t="s">
        <v>142</v>
      </c>
    </row>
    <row r="78" spans="1:16" ht="26.4">
      <c r="A78" s="16" t="s">
        <v>372</v>
      </c>
      <c r="B78" s="16" t="s">
        <v>373</v>
      </c>
      <c r="C78" s="17" t="s">
        <v>374</v>
      </c>
      <c r="D78" s="16" t="s">
        <v>19</v>
      </c>
      <c r="E78" s="16" t="s">
        <v>43</v>
      </c>
      <c r="F78" s="16" t="s">
        <v>44</v>
      </c>
      <c r="G78" s="17" t="s">
        <v>330</v>
      </c>
      <c r="H78" s="18" t="s">
        <v>23</v>
      </c>
      <c r="I78" s="19">
        <v>45436</v>
      </c>
      <c r="J78" s="20" t="s">
        <v>24</v>
      </c>
      <c r="K78" s="16" t="s">
        <v>47</v>
      </c>
      <c r="L78" s="21">
        <v>4.2</v>
      </c>
      <c r="M78" s="21">
        <v>25.7</v>
      </c>
      <c r="N78" s="16" t="s">
        <v>26</v>
      </c>
      <c r="O78" s="16" t="s">
        <v>93</v>
      </c>
      <c r="P78" s="17" t="s">
        <v>375</v>
      </c>
    </row>
    <row r="79" spans="1:16" ht="26.4">
      <c r="A79" s="22" t="s">
        <v>376</v>
      </c>
      <c r="B79" s="22" t="s">
        <v>377</v>
      </c>
      <c r="C79" s="23" t="s">
        <v>378</v>
      </c>
      <c r="D79" s="22" t="s">
        <v>68</v>
      </c>
      <c r="E79" s="22" t="s">
        <v>52</v>
      </c>
      <c r="F79" s="22" t="s">
        <v>21</v>
      </c>
      <c r="G79" s="23" t="s">
        <v>138</v>
      </c>
      <c r="H79" s="24" t="s">
        <v>35</v>
      </c>
      <c r="I79" s="25">
        <v>45355</v>
      </c>
      <c r="J79" s="30" t="s">
        <v>62</v>
      </c>
      <c r="K79" s="22" t="s">
        <v>25</v>
      </c>
      <c r="L79" s="27">
        <v>20.5</v>
      </c>
      <c r="M79" s="27">
        <v>30.6</v>
      </c>
      <c r="N79" s="22" t="s">
        <v>63</v>
      </c>
      <c r="O79" s="22" t="s">
        <v>27</v>
      </c>
      <c r="P79" s="23" t="s">
        <v>99</v>
      </c>
    </row>
    <row r="80" spans="1:16">
      <c r="A80" s="16" t="s">
        <v>379</v>
      </c>
      <c r="B80" s="16" t="s">
        <v>380</v>
      </c>
      <c r="C80" s="17" t="s">
        <v>381</v>
      </c>
      <c r="D80" s="16" t="s">
        <v>42</v>
      </c>
      <c r="E80" s="16" t="s">
        <v>97</v>
      </c>
      <c r="F80" s="16" t="s">
        <v>156</v>
      </c>
      <c r="G80" s="17" t="s">
        <v>382</v>
      </c>
      <c r="H80" s="24" t="s">
        <v>35</v>
      </c>
      <c r="I80" s="19">
        <v>45576</v>
      </c>
      <c r="J80" s="28" t="s">
        <v>46</v>
      </c>
      <c r="K80" s="16" t="s">
        <v>158</v>
      </c>
      <c r="L80" s="21">
        <v>8.3000000000000007</v>
      </c>
      <c r="M80" s="21">
        <v>86.6</v>
      </c>
      <c r="N80" s="16" t="s">
        <v>26</v>
      </c>
      <c r="O80" s="16" t="s">
        <v>27</v>
      </c>
      <c r="P80" s="17" t="s">
        <v>317</v>
      </c>
    </row>
    <row r="81" spans="1:16">
      <c r="A81" s="22" t="s">
        <v>383</v>
      </c>
      <c r="B81" s="22" t="s">
        <v>384</v>
      </c>
      <c r="C81" s="23" t="s">
        <v>385</v>
      </c>
      <c r="D81" s="22" t="s">
        <v>68</v>
      </c>
      <c r="E81" s="22" t="s">
        <v>97</v>
      </c>
      <c r="F81" s="22" t="s">
        <v>44</v>
      </c>
      <c r="G81" s="23" t="s">
        <v>311</v>
      </c>
      <c r="H81" s="24" t="s">
        <v>35</v>
      </c>
      <c r="I81" s="25">
        <v>45306</v>
      </c>
      <c r="J81" s="28" t="s">
        <v>46</v>
      </c>
      <c r="K81" s="22" t="s">
        <v>47</v>
      </c>
      <c r="L81" s="27">
        <v>11.2</v>
      </c>
      <c r="M81" s="27">
        <v>80.8</v>
      </c>
      <c r="N81" s="22" t="s">
        <v>26</v>
      </c>
      <c r="O81" s="22" t="s">
        <v>27</v>
      </c>
      <c r="P81" s="23" t="s">
        <v>386</v>
      </c>
    </row>
    <row r="82" spans="1:16" ht="26.4">
      <c r="A82" s="16" t="s">
        <v>387</v>
      </c>
      <c r="B82" s="16" t="s">
        <v>388</v>
      </c>
      <c r="C82" s="17" t="s">
        <v>110</v>
      </c>
      <c r="D82" s="16" t="s">
        <v>74</v>
      </c>
      <c r="E82" s="16" t="s">
        <v>20</v>
      </c>
      <c r="F82" s="16" t="s">
        <v>21</v>
      </c>
      <c r="G82" s="17" t="s">
        <v>98</v>
      </c>
      <c r="H82" s="29" t="s">
        <v>55</v>
      </c>
      <c r="I82" s="19">
        <v>45555</v>
      </c>
      <c r="J82" s="26" t="s">
        <v>36</v>
      </c>
      <c r="K82" s="16" t="s">
        <v>25</v>
      </c>
      <c r="L82" s="21">
        <v>2.1</v>
      </c>
      <c r="M82" s="21">
        <v>8.4</v>
      </c>
      <c r="N82" s="16" t="s">
        <v>26</v>
      </c>
      <c r="O82" s="16" t="s">
        <v>48</v>
      </c>
      <c r="P82" s="17" t="s">
        <v>83</v>
      </c>
    </row>
    <row r="83" spans="1:16" ht="26.4">
      <c r="A83" s="22" t="s">
        <v>389</v>
      </c>
      <c r="B83" s="22" t="s">
        <v>390</v>
      </c>
      <c r="C83" s="23" t="s">
        <v>391</v>
      </c>
      <c r="D83" s="22" t="s">
        <v>68</v>
      </c>
      <c r="E83" s="22" t="s">
        <v>20</v>
      </c>
      <c r="F83" s="22" t="s">
        <v>75</v>
      </c>
      <c r="G83" s="23" t="s">
        <v>325</v>
      </c>
      <c r="H83" s="18" t="s">
        <v>23</v>
      </c>
      <c r="I83" s="25">
        <v>45348</v>
      </c>
      <c r="J83" s="26" t="s">
        <v>36</v>
      </c>
      <c r="K83" s="22" t="s">
        <v>77</v>
      </c>
      <c r="L83" s="27">
        <v>7.5</v>
      </c>
      <c r="M83" s="27">
        <v>10.9</v>
      </c>
      <c r="N83" s="22" t="s">
        <v>63</v>
      </c>
      <c r="O83" s="22" t="s">
        <v>48</v>
      </c>
      <c r="P83" s="23" t="s">
        <v>78</v>
      </c>
    </row>
    <row r="84" spans="1:16" ht="26.4">
      <c r="A84" s="16" t="s">
        <v>392</v>
      </c>
      <c r="B84" s="16" t="s">
        <v>393</v>
      </c>
      <c r="C84" s="17" t="s">
        <v>394</v>
      </c>
      <c r="D84" s="16" t="s">
        <v>19</v>
      </c>
      <c r="E84" s="16" t="s">
        <v>32</v>
      </c>
      <c r="F84" s="16" t="s">
        <v>33</v>
      </c>
      <c r="G84" s="17" t="s">
        <v>34</v>
      </c>
      <c r="H84" s="18" t="s">
        <v>23</v>
      </c>
      <c r="I84" s="19">
        <v>45525</v>
      </c>
      <c r="J84" s="26" t="s">
        <v>36</v>
      </c>
      <c r="K84" s="16" t="s">
        <v>37</v>
      </c>
      <c r="L84" s="21">
        <v>4.5999999999999996</v>
      </c>
      <c r="M84" s="21">
        <v>39.700000000000003</v>
      </c>
      <c r="N84" s="16" t="s">
        <v>63</v>
      </c>
      <c r="O84" s="16" t="s">
        <v>48</v>
      </c>
      <c r="P84" s="17" t="s">
        <v>142</v>
      </c>
    </row>
    <row r="85" spans="1:16" ht="26.4">
      <c r="A85" s="22" t="s">
        <v>395</v>
      </c>
      <c r="B85" s="22" t="s">
        <v>396</v>
      </c>
      <c r="C85" s="23" t="s">
        <v>283</v>
      </c>
      <c r="D85" s="22" t="s">
        <v>68</v>
      </c>
      <c r="E85" s="22" t="s">
        <v>32</v>
      </c>
      <c r="F85" s="22" t="s">
        <v>156</v>
      </c>
      <c r="G85" s="23" t="s">
        <v>157</v>
      </c>
      <c r="H85" s="18" t="s">
        <v>23</v>
      </c>
      <c r="I85" s="25">
        <v>45341</v>
      </c>
      <c r="J85" s="26" t="s">
        <v>36</v>
      </c>
      <c r="K85" s="22" t="s">
        <v>158</v>
      </c>
      <c r="L85" s="27">
        <v>3.9</v>
      </c>
      <c r="M85" s="27">
        <v>18.2</v>
      </c>
      <c r="N85" s="22" t="s">
        <v>26</v>
      </c>
      <c r="O85" s="22" t="s">
        <v>48</v>
      </c>
      <c r="P85" s="23" t="s">
        <v>214</v>
      </c>
    </row>
    <row r="86" spans="1:16" ht="26.4">
      <c r="A86" s="16" t="s">
        <v>397</v>
      </c>
      <c r="B86" s="16" t="s">
        <v>398</v>
      </c>
      <c r="C86" s="17" t="s">
        <v>399</v>
      </c>
      <c r="D86" s="16" t="s">
        <v>42</v>
      </c>
      <c r="E86" s="16" t="s">
        <v>32</v>
      </c>
      <c r="F86" s="16" t="s">
        <v>53</v>
      </c>
      <c r="G86" s="17" t="s">
        <v>259</v>
      </c>
      <c r="H86" s="29" t="s">
        <v>55</v>
      </c>
      <c r="I86" s="19">
        <v>45577</v>
      </c>
      <c r="J86" s="20" t="s">
        <v>24</v>
      </c>
      <c r="K86" s="16" t="s">
        <v>56</v>
      </c>
      <c r="L86" s="21">
        <v>3.8</v>
      </c>
      <c r="M86" s="21">
        <v>15.2</v>
      </c>
      <c r="N86" s="16" t="s">
        <v>26</v>
      </c>
      <c r="O86" s="16" t="s">
        <v>27</v>
      </c>
      <c r="P86" s="17" t="s">
        <v>197</v>
      </c>
    </row>
    <row r="87" spans="1:16" ht="26.4">
      <c r="A87" s="22" t="s">
        <v>400</v>
      </c>
      <c r="B87" s="22" t="s">
        <v>401</v>
      </c>
      <c r="C87" s="23" t="s">
        <v>402</v>
      </c>
      <c r="D87" s="22" t="s">
        <v>42</v>
      </c>
      <c r="E87" s="22" t="s">
        <v>20</v>
      </c>
      <c r="F87" s="22" t="s">
        <v>75</v>
      </c>
      <c r="G87" s="23" t="s">
        <v>403</v>
      </c>
      <c r="H87" s="18" t="s">
        <v>23</v>
      </c>
      <c r="I87" s="25">
        <v>45407</v>
      </c>
      <c r="J87" s="26" t="s">
        <v>36</v>
      </c>
      <c r="K87" s="22" t="s">
        <v>77</v>
      </c>
      <c r="L87" s="27">
        <v>4.0999999999999996</v>
      </c>
      <c r="M87" s="27">
        <v>30.3</v>
      </c>
      <c r="N87" s="22" t="s">
        <v>63</v>
      </c>
      <c r="O87" s="22" t="s">
        <v>27</v>
      </c>
      <c r="P87" s="23" t="s">
        <v>404</v>
      </c>
    </row>
    <row r="88" spans="1:16">
      <c r="A88" s="16" t="s">
        <v>405</v>
      </c>
      <c r="B88" s="16" t="s">
        <v>406</v>
      </c>
      <c r="C88" s="17" t="s">
        <v>407</v>
      </c>
      <c r="D88" s="16" t="s">
        <v>68</v>
      </c>
      <c r="E88" s="16" t="s">
        <v>43</v>
      </c>
      <c r="F88" s="16" t="s">
        <v>44</v>
      </c>
      <c r="G88" s="17" t="s">
        <v>121</v>
      </c>
      <c r="H88" s="24" t="s">
        <v>35</v>
      </c>
      <c r="I88" s="19">
        <v>45629</v>
      </c>
      <c r="J88" s="26" t="s">
        <v>36</v>
      </c>
      <c r="K88" s="16" t="s">
        <v>47</v>
      </c>
      <c r="L88" s="21">
        <v>9.3000000000000007</v>
      </c>
      <c r="M88" s="21">
        <v>37</v>
      </c>
      <c r="N88" s="16" t="s">
        <v>26</v>
      </c>
      <c r="O88" s="16" t="s">
        <v>27</v>
      </c>
      <c r="P88" s="17" t="s">
        <v>49</v>
      </c>
    </row>
    <row r="89" spans="1:16">
      <c r="A89" s="22" t="s">
        <v>408</v>
      </c>
      <c r="B89" s="22" t="s">
        <v>409</v>
      </c>
      <c r="C89" s="23" t="s">
        <v>162</v>
      </c>
      <c r="D89" s="22" t="s">
        <v>68</v>
      </c>
      <c r="E89" s="22" t="s">
        <v>32</v>
      </c>
      <c r="F89" s="22" t="s">
        <v>75</v>
      </c>
      <c r="G89" s="23" t="s">
        <v>403</v>
      </c>
      <c r="H89" s="18" t="s">
        <v>23</v>
      </c>
      <c r="I89" s="25">
        <v>45308</v>
      </c>
      <c r="J89" s="20" t="s">
        <v>24</v>
      </c>
      <c r="K89" s="22" t="s">
        <v>77</v>
      </c>
      <c r="L89" s="27">
        <v>5.2</v>
      </c>
      <c r="M89" s="27">
        <v>23</v>
      </c>
      <c r="N89" s="22" t="s">
        <v>26</v>
      </c>
      <c r="O89" s="22" t="s">
        <v>27</v>
      </c>
      <c r="P89" s="23" t="s">
        <v>348</v>
      </c>
    </row>
    <row r="90" spans="1:16" ht="26.4">
      <c r="A90" s="16" t="s">
        <v>410</v>
      </c>
      <c r="B90" s="16" t="s">
        <v>411</v>
      </c>
      <c r="C90" s="17" t="s">
        <v>412</v>
      </c>
      <c r="D90" s="16" t="s">
        <v>74</v>
      </c>
      <c r="E90" s="16" t="s">
        <v>43</v>
      </c>
      <c r="F90" s="16" t="s">
        <v>21</v>
      </c>
      <c r="G90" s="17" t="s">
        <v>69</v>
      </c>
      <c r="H90" s="24" t="s">
        <v>35</v>
      </c>
      <c r="I90" s="19">
        <v>45334</v>
      </c>
      <c r="J90" s="28" t="s">
        <v>46</v>
      </c>
      <c r="K90" s="16" t="s">
        <v>25</v>
      </c>
      <c r="L90" s="21">
        <v>17.2</v>
      </c>
      <c r="M90" s="21">
        <v>59</v>
      </c>
      <c r="N90" s="16" t="s">
        <v>26</v>
      </c>
      <c r="O90" s="16" t="s">
        <v>27</v>
      </c>
      <c r="P90" s="17" t="s">
        <v>83</v>
      </c>
    </row>
    <row r="91" spans="1:16" ht="26.4">
      <c r="A91" s="22" t="s">
        <v>413</v>
      </c>
      <c r="B91" s="22" t="s">
        <v>414</v>
      </c>
      <c r="C91" s="23" t="s">
        <v>415</v>
      </c>
      <c r="D91" s="22" t="s">
        <v>42</v>
      </c>
      <c r="E91" s="22" t="s">
        <v>52</v>
      </c>
      <c r="F91" s="22" t="s">
        <v>44</v>
      </c>
      <c r="G91" s="23" t="s">
        <v>121</v>
      </c>
      <c r="H91" s="18" t="s">
        <v>23</v>
      </c>
      <c r="I91" s="25">
        <v>45316</v>
      </c>
      <c r="J91" s="28" t="s">
        <v>46</v>
      </c>
      <c r="K91" s="22" t="s">
        <v>47</v>
      </c>
      <c r="L91" s="27">
        <v>7.9</v>
      </c>
      <c r="M91" s="27">
        <v>10.199999999999999</v>
      </c>
      <c r="N91" s="22" t="s">
        <v>26</v>
      </c>
      <c r="O91" s="22" t="s">
        <v>93</v>
      </c>
      <c r="P91" s="23" t="s">
        <v>131</v>
      </c>
    </row>
    <row r="92" spans="1:16">
      <c r="A92" s="16" t="s">
        <v>416</v>
      </c>
      <c r="B92" s="16" t="s">
        <v>417</v>
      </c>
      <c r="C92" s="17" t="s">
        <v>418</v>
      </c>
      <c r="D92" s="16" t="s">
        <v>42</v>
      </c>
      <c r="E92" s="16" t="s">
        <v>32</v>
      </c>
      <c r="F92" s="16" t="s">
        <v>75</v>
      </c>
      <c r="G92" s="17" t="s">
        <v>403</v>
      </c>
      <c r="H92" s="18" t="s">
        <v>23</v>
      </c>
      <c r="I92" s="19">
        <v>45653</v>
      </c>
      <c r="J92" s="28" t="s">
        <v>46</v>
      </c>
      <c r="K92" s="16" t="s">
        <v>77</v>
      </c>
      <c r="L92" s="21">
        <v>5.4</v>
      </c>
      <c r="M92" s="21">
        <v>34.700000000000003</v>
      </c>
      <c r="N92" s="16" t="s">
        <v>26</v>
      </c>
      <c r="O92" s="16" t="s">
        <v>27</v>
      </c>
      <c r="P92" s="17" t="s">
        <v>112</v>
      </c>
    </row>
    <row r="93" spans="1:16" ht="26.4">
      <c r="A93" s="22" t="s">
        <v>419</v>
      </c>
      <c r="B93" s="22" t="s">
        <v>420</v>
      </c>
      <c r="C93" s="23" t="s">
        <v>421</v>
      </c>
      <c r="D93" s="22" t="s">
        <v>68</v>
      </c>
      <c r="E93" s="22" t="s">
        <v>43</v>
      </c>
      <c r="F93" s="22" t="s">
        <v>44</v>
      </c>
      <c r="G93" s="23" t="s">
        <v>422</v>
      </c>
      <c r="H93" s="18" t="s">
        <v>23</v>
      </c>
      <c r="I93" s="25">
        <v>45620</v>
      </c>
      <c r="J93" s="26" t="s">
        <v>36</v>
      </c>
      <c r="K93" s="22" t="s">
        <v>47</v>
      </c>
      <c r="L93" s="27">
        <v>2.7</v>
      </c>
      <c r="M93" s="27">
        <v>8.8000000000000007</v>
      </c>
      <c r="N93" s="22" t="s">
        <v>26</v>
      </c>
      <c r="O93" s="22" t="s">
        <v>93</v>
      </c>
      <c r="P93" s="23" t="s">
        <v>423</v>
      </c>
    </row>
    <row r="94" spans="1:16">
      <c r="A94" s="16" t="s">
        <v>424</v>
      </c>
      <c r="B94" s="16" t="s">
        <v>425</v>
      </c>
      <c r="C94" s="17" t="s">
        <v>426</v>
      </c>
      <c r="D94" s="16" t="s">
        <v>68</v>
      </c>
      <c r="E94" s="16" t="s">
        <v>20</v>
      </c>
      <c r="F94" s="16" t="s">
        <v>156</v>
      </c>
      <c r="G94" s="17" t="s">
        <v>382</v>
      </c>
      <c r="H94" s="18" t="s">
        <v>23</v>
      </c>
      <c r="I94" s="19">
        <v>45498</v>
      </c>
      <c r="J94" s="26" t="s">
        <v>36</v>
      </c>
      <c r="K94" s="16" t="s">
        <v>158</v>
      </c>
      <c r="L94" s="21">
        <v>4.4000000000000004</v>
      </c>
      <c r="M94" s="21">
        <v>20.399999999999999</v>
      </c>
      <c r="N94" s="16" t="s">
        <v>26</v>
      </c>
      <c r="O94" s="16" t="s">
        <v>27</v>
      </c>
      <c r="P94" s="17" t="s">
        <v>159</v>
      </c>
    </row>
    <row r="95" spans="1:16" ht="26.4">
      <c r="A95" s="22" t="s">
        <v>427</v>
      </c>
      <c r="B95" s="22" t="s">
        <v>428</v>
      </c>
      <c r="C95" s="23" t="s">
        <v>429</v>
      </c>
      <c r="D95" s="22" t="s">
        <v>42</v>
      </c>
      <c r="E95" s="22" t="s">
        <v>32</v>
      </c>
      <c r="F95" s="22" t="s">
        <v>163</v>
      </c>
      <c r="G95" s="23" t="s">
        <v>430</v>
      </c>
      <c r="H95" s="18" t="s">
        <v>23</v>
      </c>
      <c r="I95" s="25">
        <v>45623</v>
      </c>
      <c r="J95" s="26" t="s">
        <v>36</v>
      </c>
      <c r="K95" s="22" t="s">
        <v>165</v>
      </c>
      <c r="L95" s="27">
        <v>3.4</v>
      </c>
      <c r="M95" s="27">
        <v>13.9</v>
      </c>
      <c r="N95" s="22" t="s">
        <v>26</v>
      </c>
      <c r="O95" s="22" t="s">
        <v>48</v>
      </c>
      <c r="P95" s="23" t="s">
        <v>292</v>
      </c>
    </row>
    <row r="96" spans="1:16">
      <c r="A96" s="16" t="s">
        <v>431</v>
      </c>
      <c r="B96" s="16" t="s">
        <v>432</v>
      </c>
      <c r="C96" s="17" t="s">
        <v>86</v>
      </c>
      <c r="D96" s="16" t="s">
        <v>74</v>
      </c>
      <c r="E96" s="16" t="s">
        <v>52</v>
      </c>
      <c r="F96" s="16" t="s">
        <v>53</v>
      </c>
      <c r="G96" s="17" t="s">
        <v>196</v>
      </c>
      <c r="H96" s="18" t="s">
        <v>23</v>
      </c>
      <c r="I96" s="19">
        <v>45582</v>
      </c>
      <c r="J96" s="26" t="s">
        <v>36</v>
      </c>
      <c r="K96" s="16" t="s">
        <v>56</v>
      </c>
      <c r="L96" s="21">
        <v>7.9</v>
      </c>
      <c r="M96" s="21">
        <v>20.9</v>
      </c>
      <c r="N96" s="16" t="s">
        <v>26</v>
      </c>
      <c r="O96" s="16" t="s">
        <v>27</v>
      </c>
      <c r="P96" s="17" t="s">
        <v>433</v>
      </c>
    </row>
    <row r="97" spans="1:16" ht="26.4">
      <c r="A97" s="22" t="s">
        <v>434</v>
      </c>
      <c r="B97" s="22" t="s">
        <v>435</v>
      </c>
      <c r="C97" s="23" t="s">
        <v>436</v>
      </c>
      <c r="D97" s="22" t="s">
        <v>19</v>
      </c>
      <c r="E97" s="22" t="s">
        <v>52</v>
      </c>
      <c r="F97" s="22" t="s">
        <v>44</v>
      </c>
      <c r="G97" s="23" t="s">
        <v>130</v>
      </c>
      <c r="H97" s="18" t="s">
        <v>23</v>
      </c>
      <c r="I97" s="25">
        <v>45451</v>
      </c>
      <c r="J97" s="26" t="s">
        <v>36</v>
      </c>
      <c r="K97" s="22" t="s">
        <v>47</v>
      </c>
      <c r="L97" s="27">
        <v>2.2000000000000002</v>
      </c>
      <c r="M97" s="27">
        <v>22.7</v>
      </c>
      <c r="N97" s="22" t="s">
        <v>26</v>
      </c>
      <c r="O97" s="22" t="s">
        <v>48</v>
      </c>
      <c r="P97" s="23" t="s">
        <v>375</v>
      </c>
    </row>
    <row r="98" spans="1:16" ht="26.4">
      <c r="A98" s="16" t="s">
        <v>437</v>
      </c>
      <c r="B98" s="16" t="s">
        <v>438</v>
      </c>
      <c r="C98" s="17" t="s">
        <v>439</v>
      </c>
      <c r="D98" s="16" t="s">
        <v>74</v>
      </c>
      <c r="E98" s="16" t="s">
        <v>52</v>
      </c>
      <c r="F98" s="16" t="s">
        <v>163</v>
      </c>
      <c r="G98" s="17" t="s">
        <v>440</v>
      </c>
      <c r="H98" s="18" t="s">
        <v>23</v>
      </c>
      <c r="I98" s="19">
        <v>45585</v>
      </c>
      <c r="J98" s="26" t="s">
        <v>36</v>
      </c>
      <c r="K98" s="16" t="s">
        <v>165</v>
      </c>
      <c r="L98" s="21">
        <v>3.9</v>
      </c>
      <c r="M98" s="21">
        <v>27</v>
      </c>
      <c r="N98" s="16" t="s">
        <v>26</v>
      </c>
      <c r="O98" s="16" t="s">
        <v>27</v>
      </c>
      <c r="P98" s="17" t="s">
        <v>292</v>
      </c>
    </row>
    <row r="99" spans="1:16">
      <c r="A99" s="22" t="s">
        <v>441</v>
      </c>
      <c r="B99" s="22" t="s">
        <v>442</v>
      </c>
      <c r="C99" s="23" t="s">
        <v>443</v>
      </c>
      <c r="D99" s="22" t="s">
        <v>74</v>
      </c>
      <c r="E99" s="22" t="s">
        <v>20</v>
      </c>
      <c r="F99" s="22" t="s">
        <v>33</v>
      </c>
      <c r="G99" s="23" t="s">
        <v>371</v>
      </c>
      <c r="H99" s="29" t="s">
        <v>55</v>
      </c>
      <c r="I99" s="25">
        <v>45561</v>
      </c>
      <c r="J99" s="26" t="s">
        <v>36</v>
      </c>
      <c r="K99" s="22" t="s">
        <v>37</v>
      </c>
      <c r="L99" s="27">
        <v>1.1000000000000001</v>
      </c>
      <c r="M99" s="27">
        <v>11.5</v>
      </c>
      <c r="N99" s="22" t="s">
        <v>26</v>
      </c>
      <c r="O99" s="22" t="s">
        <v>27</v>
      </c>
      <c r="P99" s="23" t="s">
        <v>38</v>
      </c>
    </row>
    <row r="100" spans="1:16" ht="26.4">
      <c r="A100" s="16" t="s">
        <v>444</v>
      </c>
      <c r="B100" s="16" t="s">
        <v>445</v>
      </c>
      <c r="C100" s="17" t="s">
        <v>446</v>
      </c>
      <c r="D100" s="16" t="s">
        <v>19</v>
      </c>
      <c r="E100" s="16" t="s">
        <v>52</v>
      </c>
      <c r="F100" s="16" t="s">
        <v>21</v>
      </c>
      <c r="G100" s="17" t="s">
        <v>22</v>
      </c>
      <c r="H100" s="18" t="s">
        <v>23</v>
      </c>
      <c r="I100" s="19">
        <v>45490</v>
      </c>
      <c r="J100" s="28" t="s">
        <v>46</v>
      </c>
      <c r="K100" s="16" t="s">
        <v>25</v>
      </c>
      <c r="L100" s="21">
        <v>6.3</v>
      </c>
      <c r="M100" s="21">
        <v>34.299999999999997</v>
      </c>
      <c r="N100" s="16" t="s">
        <v>26</v>
      </c>
      <c r="O100" s="16" t="s">
        <v>93</v>
      </c>
      <c r="P100" s="17" t="s">
        <v>447</v>
      </c>
    </row>
    <row r="101" spans="1:16" ht="26.4">
      <c r="A101" s="22" t="s">
        <v>448</v>
      </c>
      <c r="B101" s="22" t="s">
        <v>449</v>
      </c>
      <c r="C101" s="23" t="s">
        <v>450</v>
      </c>
      <c r="D101" s="22" t="s">
        <v>42</v>
      </c>
      <c r="E101" s="22" t="s">
        <v>32</v>
      </c>
      <c r="F101" s="22" t="s">
        <v>163</v>
      </c>
      <c r="G101" s="23" t="s">
        <v>218</v>
      </c>
      <c r="H101" s="24" t="s">
        <v>35</v>
      </c>
      <c r="I101" s="25">
        <v>45336</v>
      </c>
      <c r="J101" s="26" t="s">
        <v>36</v>
      </c>
      <c r="K101" s="22" t="s">
        <v>165</v>
      </c>
      <c r="L101" s="27">
        <v>11.5</v>
      </c>
      <c r="M101" s="27">
        <v>81</v>
      </c>
      <c r="N101" s="22" t="s">
        <v>26</v>
      </c>
      <c r="O101" s="22" t="s">
        <v>48</v>
      </c>
      <c r="P101" s="23" t="s">
        <v>451</v>
      </c>
    </row>
  </sheetData>
  <autoFilter ref="A1:P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1:G61"/>
  <sheetViews>
    <sheetView workbookViewId="0">
      <pane ySplit="1" topLeftCell="A34" activePane="bottomLeft" state="frozen"/>
      <selection pane="bottomLeft" sqref="A1:G61"/>
    </sheetView>
  </sheetViews>
  <sheetFormatPr defaultColWidth="8.6640625" defaultRowHeight="14.4"/>
  <cols>
    <col min="1" max="1" width="12" customWidth="1"/>
    <col min="2" max="2" width="20" customWidth="1"/>
    <col min="3" max="3" width="38" customWidth="1"/>
    <col min="4" max="4" width="45" customWidth="1"/>
    <col min="5" max="5" width="22" customWidth="1"/>
    <col min="6" max="6" width="40" customWidth="1"/>
    <col min="7" max="7" width="16" customWidth="1"/>
  </cols>
  <sheetData>
    <row r="1" spans="1:7" ht="34.5" customHeight="1">
      <c r="A1" s="31" t="s">
        <v>0</v>
      </c>
      <c r="B1" s="31" t="s">
        <v>5</v>
      </c>
      <c r="C1" s="31" t="s">
        <v>452</v>
      </c>
      <c r="D1" s="31" t="s">
        <v>453</v>
      </c>
      <c r="E1" s="31" t="s">
        <v>454</v>
      </c>
      <c r="F1" s="31" t="s">
        <v>455</v>
      </c>
      <c r="G1" s="31" t="s">
        <v>456</v>
      </c>
    </row>
    <row r="2" spans="1:7">
      <c r="A2" s="32" t="s">
        <v>100</v>
      </c>
      <c r="B2" s="32" t="s">
        <v>33</v>
      </c>
      <c r="C2" s="33" t="s">
        <v>457</v>
      </c>
      <c r="D2" s="33" t="s">
        <v>458</v>
      </c>
      <c r="E2" s="32" t="s">
        <v>56</v>
      </c>
      <c r="F2" s="33" t="s">
        <v>459</v>
      </c>
      <c r="G2" s="34" t="s">
        <v>63</v>
      </c>
    </row>
    <row r="3" spans="1:7">
      <c r="A3" s="22" t="s">
        <v>392</v>
      </c>
      <c r="B3" s="22" t="s">
        <v>33</v>
      </c>
      <c r="C3" s="23" t="s">
        <v>460</v>
      </c>
      <c r="D3" s="23" t="s">
        <v>461</v>
      </c>
      <c r="E3" s="22" t="s">
        <v>462</v>
      </c>
      <c r="F3" s="23" t="s">
        <v>463</v>
      </c>
      <c r="G3" s="34" t="s">
        <v>63</v>
      </c>
    </row>
    <row r="4" spans="1:7">
      <c r="A4" s="32" t="s">
        <v>400</v>
      </c>
      <c r="B4" s="32" t="s">
        <v>75</v>
      </c>
      <c r="C4" s="33" t="s">
        <v>464</v>
      </c>
      <c r="D4" s="33" t="s">
        <v>465</v>
      </c>
      <c r="E4" s="32" t="s">
        <v>466</v>
      </c>
      <c r="F4" s="33" t="s">
        <v>459</v>
      </c>
      <c r="G4" s="34" t="s">
        <v>63</v>
      </c>
    </row>
    <row r="5" spans="1:7">
      <c r="A5" s="22" t="s">
        <v>284</v>
      </c>
      <c r="B5" s="22" t="s">
        <v>33</v>
      </c>
      <c r="C5" s="23" t="s">
        <v>467</v>
      </c>
      <c r="D5" s="23" t="s">
        <v>461</v>
      </c>
      <c r="E5" s="22" t="s">
        <v>468</v>
      </c>
      <c r="F5" s="23" t="s">
        <v>469</v>
      </c>
      <c r="G5" s="34" t="s">
        <v>63</v>
      </c>
    </row>
    <row r="6" spans="1:7">
      <c r="A6" s="32" t="s">
        <v>331</v>
      </c>
      <c r="B6" s="32" t="s">
        <v>156</v>
      </c>
      <c r="C6" s="33" t="s">
        <v>470</v>
      </c>
      <c r="D6" s="33" t="s">
        <v>471</v>
      </c>
      <c r="E6" s="32" t="s">
        <v>468</v>
      </c>
      <c r="F6" s="33" t="s">
        <v>463</v>
      </c>
      <c r="G6" s="34" t="s">
        <v>63</v>
      </c>
    </row>
    <row r="7" spans="1:7">
      <c r="A7" s="22" t="s">
        <v>253</v>
      </c>
      <c r="B7" s="22" t="s">
        <v>21</v>
      </c>
      <c r="C7" s="23" t="s">
        <v>472</v>
      </c>
      <c r="D7" s="23" t="s">
        <v>473</v>
      </c>
      <c r="E7" s="22" t="s">
        <v>468</v>
      </c>
      <c r="F7" s="23" t="s">
        <v>463</v>
      </c>
      <c r="G7" s="34" t="s">
        <v>63</v>
      </c>
    </row>
    <row r="8" spans="1:7">
      <c r="A8" s="32" t="s">
        <v>39</v>
      </c>
      <c r="B8" s="32" t="s">
        <v>44</v>
      </c>
      <c r="C8" s="33" t="s">
        <v>474</v>
      </c>
      <c r="D8" s="33" t="s">
        <v>475</v>
      </c>
      <c r="E8" s="32" t="s">
        <v>468</v>
      </c>
      <c r="F8" s="33" t="s">
        <v>463</v>
      </c>
      <c r="G8" s="34" t="s">
        <v>63</v>
      </c>
    </row>
    <row r="9" spans="1:7">
      <c r="A9" s="22" t="s">
        <v>431</v>
      </c>
      <c r="B9" s="22" t="s">
        <v>53</v>
      </c>
      <c r="C9" s="23" t="s">
        <v>476</v>
      </c>
      <c r="D9" s="23" t="s">
        <v>477</v>
      </c>
      <c r="E9" s="22" t="s">
        <v>468</v>
      </c>
      <c r="F9" s="23" t="s">
        <v>463</v>
      </c>
      <c r="G9" s="34" t="s">
        <v>63</v>
      </c>
    </row>
    <row r="10" spans="1:7">
      <c r="A10" s="32" t="s">
        <v>224</v>
      </c>
      <c r="B10" s="32" t="s">
        <v>75</v>
      </c>
      <c r="C10" s="33" t="s">
        <v>478</v>
      </c>
      <c r="D10" s="33" t="s">
        <v>479</v>
      </c>
      <c r="E10" s="32" t="s">
        <v>468</v>
      </c>
      <c r="F10" s="33" t="s">
        <v>459</v>
      </c>
      <c r="G10" s="34" t="s">
        <v>63</v>
      </c>
    </row>
    <row r="11" spans="1:7">
      <c r="A11" s="22" t="s">
        <v>150</v>
      </c>
      <c r="B11" s="22" t="s">
        <v>53</v>
      </c>
      <c r="C11" s="23" t="s">
        <v>476</v>
      </c>
      <c r="D11" s="23" t="s">
        <v>480</v>
      </c>
      <c r="E11" s="22" t="s">
        <v>468</v>
      </c>
      <c r="F11" s="23" t="s">
        <v>463</v>
      </c>
      <c r="G11" s="34" t="s">
        <v>63</v>
      </c>
    </row>
    <row r="12" spans="1:7">
      <c r="A12" s="32" t="s">
        <v>172</v>
      </c>
      <c r="B12" s="32" t="s">
        <v>156</v>
      </c>
      <c r="C12" s="33" t="s">
        <v>481</v>
      </c>
      <c r="D12" s="33" t="s">
        <v>471</v>
      </c>
      <c r="E12" s="32" t="s">
        <v>468</v>
      </c>
      <c r="F12" s="33" t="s">
        <v>482</v>
      </c>
      <c r="G12" s="34" t="s">
        <v>63</v>
      </c>
    </row>
    <row r="13" spans="1:7">
      <c r="A13" s="22" t="s">
        <v>241</v>
      </c>
      <c r="B13" s="22" t="s">
        <v>44</v>
      </c>
      <c r="C13" s="23" t="s">
        <v>474</v>
      </c>
      <c r="D13" s="23" t="s">
        <v>483</v>
      </c>
      <c r="E13" s="22" t="s">
        <v>468</v>
      </c>
      <c r="F13" s="23" t="s">
        <v>469</v>
      </c>
      <c r="G13" s="34" t="s">
        <v>63</v>
      </c>
    </row>
    <row r="14" spans="1:7">
      <c r="A14" s="32" t="s">
        <v>318</v>
      </c>
      <c r="B14" s="32" t="s">
        <v>75</v>
      </c>
      <c r="C14" s="33" t="s">
        <v>464</v>
      </c>
      <c r="D14" s="33" t="s">
        <v>484</v>
      </c>
      <c r="E14" s="32" t="s">
        <v>468</v>
      </c>
      <c r="F14" s="33" t="s">
        <v>482</v>
      </c>
      <c r="G14" s="34" t="s">
        <v>63</v>
      </c>
    </row>
    <row r="15" spans="1:7">
      <c r="A15" s="22" t="s">
        <v>153</v>
      </c>
      <c r="B15" s="22" t="s">
        <v>156</v>
      </c>
      <c r="C15" s="23" t="s">
        <v>481</v>
      </c>
      <c r="D15" s="23" t="s">
        <v>471</v>
      </c>
      <c r="E15" s="22" t="s">
        <v>468</v>
      </c>
      <c r="F15" s="23" t="s">
        <v>482</v>
      </c>
      <c r="G15" s="34" t="s">
        <v>63</v>
      </c>
    </row>
    <row r="16" spans="1:7">
      <c r="A16" s="32" t="s">
        <v>177</v>
      </c>
      <c r="B16" s="32" t="s">
        <v>53</v>
      </c>
      <c r="C16" s="33" t="s">
        <v>485</v>
      </c>
      <c r="D16" s="33" t="s">
        <v>486</v>
      </c>
      <c r="E16" s="32" t="s">
        <v>468</v>
      </c>
      <c r="F16" s="33" t="s">
        <v>459</v>
      </c>
      <c r="G16" s="34" t="s">
        <v>63</v>
      </c>
    </row>
    <row r="17" spans="1:7">
      <c r="A17" s="22" t="s">
        <v>127</v>
      </c>
      <c r="B17" s="22" t="s">
        <v>44</v>
      </c>
      <c r="C17" s="23" t="s">
        <v>474</v>
      </c>
      <c r="D17" s="23" t="s">
        <v>487</v>
      </c>
      <c r="E17" s="22" t="s">
        <v>462</v>
      </c>
      <c r="F17" s="23" t="s">
        <v>488</v>
      </c>
      <c r="G17" s="34" t="s">
        <v>63</v>
      </c>
    </row>
    <row r="18" spans="1:7">
      <c r="A18" s="32" t="s">
        <v>135</v>
      </c>
      <c r="B18" s="32" t="s">
        <v>21</v>
      </c>
      <c r="C18" s="33" t="s">
        <v>489</v>
      </c>
      <c r="D18" s="33" t="s">
        <v>473</v>
      </c>
      <c r="E18" s="32" t="s">
        <v>165</v>
      </c>
      <c r="F18" s="33" t="s">
        <v>469</v>
      </c>
      <c r="G18" s="34" t="s">
        <v>63</v>
      </c>
    </row>
    <row r="19" spans="1:7">
      <c r="A19" s="22" t="s">
        <v>89</v>
      </c>
      <c r="B19" s="22" t="s">
        <v>21</v>
      </c>
      <c r="C19" s="23" t="s">
        <v>490</v>
      </c>
      <c r="D19" s="23" t="s">
        <v>473</v>
      </c>
      <c r="E19" s="22" t="s">
        <v>468</v>
      </c>
      <c r="F19" s="23" t="s">
        <v>488</v>
      </c>
      <c r="G19" s="34" t="s">
        <v>63</v>
      </c>
    </row>
    <row r="20" spans="1:7">
      <c r="A20" s="32" t="s">
        <v>215</v>
      </c>
      <c r="B20" s="32" t="s">
        <v>163</v>
      </c>
      <c r="C20" s="33" t="s">
        <v>491</v>
      </c>
      <c r="D20" s="33" t="s">
        <v>492</v>
      </c>
      <c r="E20" s="32" t="s">
        <v>468</v>
      </c>
      <c r="F20" s="33" t="s">
        <v>482</v>
      </c>
      <c r="G20" s="34" t="s">
        <v>63</v>
      </c>
    </row>
    <row r="21" spans="1:7">
      <c r="A21" s="22" t="s">
        <v>104</v>
      </c>
      <c r="B21" s="22" t="s">
        <v>21</v>
      </c>
      <c r="C21" s="23" t="s">
        <v>493</v>
      </c>
      <c r="D21" s="23" t="s">
        <v>494</v>
      </c>
      <c r="E21" s="22" t="s">
        <v>468</v>
      </c>
      <c r="F21" s="23" t="s">
        <v>469</v>
      </c>
      <c r="G21" s="34" t="s">
        <v>63</v>
      </c>
    </row>
    <row r="22" spans="1:7">
      <c r="A22" s="32" t="s">
        <v>327</v>
      </c>
      <c r="B22" s="32" t="s">
        <v>44</v>
      </c>
      <c r="C22" s="33" t="s">
        <v>474</v>
      </c>
      <c r="D22" s="33" t="s">
        <v>495</v>
      </c>
      <c r="E22" s="32" t="s">
        <v>468</v>
      </c>
      <c r="F22" s="33" t="s">
        <v>459</v>
      </c>
      <c r="G22" s="34" t="s">
        <v>63</v>
      </c>
    </row>
    <row r="23" spans="1:7">
      <c r="A23" s="22" t="s">
        <v>344</v>
      </c>
      <c r="B23" s="22" t="s">
        <v>75</v>
      </c>
      <c r="C23" s="23" t="s">
        <v>496</v>
      </c>
      <c r="D23" s="23" t="s">
        <v>497</v>
      </c>
      <c r="E23" s="22" t="s">
        <v>56</v>
      </c>
      <c r="F23" s="23" t="s">
        <v>482</v>
      </c>
      <c r="G23" s="34" t="s">
        <v>63</v>
      </c>
    </row>
    <row r="24" spans="1:7">
      <c r="A24" s="32" t="s">
        <v>338</v>
      </c>
      <c r="B24" s="32" t="s">
        <v>21</v>
      </c>
      <c r="C24" s="33" t="s">
        <v>490</v>
      </c>
      <c r="D24" s="33" t="s">
        <v>498</v>
      </c>
      <c r="E24" s="32" t="s">
        <v>468</v>
      </c>
      <c r="F24" s="33" t="s">
        <v>469</v>
      </c>
      <c r="G24" s="34" t="s">
        <v>63</v>
      </c>
    </row>
    <row r="25" spans="1:7">
      <c r="A25" s="22" t="s">
        <v>58</v>
      </c>
      <c r="B25" s="22" t="s">
        <v>53</v>
      </c>
      <c r="C25" s="23" t="s">
        <v>499</v>
      </c>
      <c r="D25" s="23" t="s">
        <v>500</v>
      </c>
      <c r="E25" s="22" t="s">
        <v>56</v>
      </c>
      <c r="F25" s="23" t="s">
        <v>459</v>
      </c>
      <c r="G25" s="34" t="s">
        <v>63</v>
      </c>
    </row>
    <row r="26" spans="1:7">
      <c r="A26" s="32" t="s">
        <v>410</v>
      </c>
      <c r="B26" s="32" t="s">
        <v>21</v>
      </c>
      <c r="C26" s="33" t="s">
        <v>493</v>
      </c>
      <c r="D26" s="33" t="s">
        <v>473</v>
      </c>
      <c r="E26" s="32" t="s">
        <v>468</v>
      </c>
      <c r="F26" s="33" t="s">
        <v>469</v>
      </c>
      <c r="G26" s="34" t="s">
        <v>63</v>
      </c>
    </row>
    <row r="27" spans="1:7">
      <c r="A27" s="22" t="s">
        <v>123</v>
      </c>
      <c r="B27" s="22" t="s">
        <v>75</v>
      </c>
      <c r="C27" s="23" t="s">
        <v>496</v>
      </c>
      <c r="D27" s="23" t="s">
        <v>501</v>
      </c>
      <c r="E27" s="22" t="s">
        <v>466</v>
      </c>
      <c r="F27" s="23" t="s">
        <v>459</v>
      </c>
      <c r="G27" s="34" t="s">
        <v>63</v>
      </c>
    </row>
    <row r="28" spans="1:7">
      <c r="A28" s="32" t="s">
        <v>260</v>
      </c>
      <c r="B28" s="32" t="s">
        <v>53</v>
      </c>
      <c r="C28" s="33" t="s">
        <v>499</v>
      </c>
      <c r="D28" s="33" t="s">
        <v>502</v>
      </c>
      <c r="E28" s="32" t="s">
        <v>468</v>
      </c>
      <c r="F28" s="33" t="s">
        <v>459</v>
      </c>
      <c r="G28" s="34" t="s">
        <v>63</v>
      </c>
    </row>
    <row r="29" spans="1:7">
      <c r="A29" s="22" t="s">
        <v>395</v>
      </c>
      <c r="B29" s="22" t="s">
        <v>156</v>
      </c>
      <c r="C29" s="23" t="s">
        <v>481</v>
      </c>
      <c r="D29" s="23" t="s">
        <v>503</v>
      </c>
      <c r="E29" s="22" t="s">
        <v>468</v>
      </c>
      <c r="F29" s="23" t="s">
        <v>463</v>
      </c>
      <c r="G29" s="34" t="s">
        <v>63</v>
      </c>
    </row>
    <row r="30" spans="1:7">
      <c r="A30" s="32" t="s">
        <v>139</v>
      </c>
      <c r="B30" s="32" t="s">
        <v>33</v>
      </c>
      <c r="C30" s="33" t="s">
        <v>467</v>
      </c>
      <c r="D30" s="33" t="s">
        <v>504</v>
      </c>
      <c r="E30" s="32" t="s">
        <v>468</v>
      </c>
      <c r="F30" s="33" t="s">
        <v>488</v>
      </c>
      <c r="G30" s="34" t="s">
        <v>63</v>
      </c>
    </row>
    <row r="31" spans="1:7">
      <c r="A31" s="22" t="s">
        <v>416</v>
      </c>
      <c r="B31" s="22" t="s">
        <v>75</v>
      </c>
      <c r="C31" s="23" t="s">
        <v>464</v>
      </c>
      <c r="D31" s="23" t="s">
        <v>497</v>
      </c>
      <c r="E31" s="22" t="s">
        <v>468</v>
      </c>
      <c r="F31" s="23" t="s">
        <v>488</v>
      </c>
      <c r="G31" s="34" t="s">
        <v>63</v>
      </c>
    </row>
    <row r="32" spans="1:7">
      <c r="A32" s="32" t="s">
        <v>143</v>
      </c>
      <c r="B32" s="32" t="s">
        <v>33</v>
      </c>
      <c r="C32" s="33" t="s">
        <v>467</v>
      </c>
      <c r="D32" s="33" t="s">
        <v>461</v>
      </c>
      <c r="E32" s="32" t="s">
        <v>468</v>
      </c>
      <c r="F32" s="33" t="s">
        <v>482</v>
      </c>
      <c r="G32" s="34" t="s">
        <v>63</v>
      </c>
    </row>
    <row r="33" spans="1:7">
      <c r="A33" s="22" t="s">
        <v>293</v>
      </c>
      <c r="B33" s="22" t="s">
        <v>21</v>
      </c>
      <c r="C33" s="23" t="s">
        <v>505</v>
      </c>
      <c r="D33" s="23" t="s">
        <v>506</v>
      </c>
      <c r="E33" s="22" t="s">
        <v>468</v>
      </c>
      <c r="F33" s="23" t="s">
        <v>459</v>
      </c>
      <c r="G33" s="34" t="s">
        <v>63</v>
      </c>
    </row>
    <row r="34" spans="1:7">
      <c r="A34" s="32" t="s">
        <v>65</v>
      </c>
      <c r="B34" s="32" t="s">
        <v>21</v>
      </c>
      <c r="C34" s="33" t="s">
        <v>505</v>
      </c>
      <c r="D34" s="33" t="s">
        <v>507</v>
      </c>
      <c r="E34" s="32" t="s">
        <v>468</v>
      </c>
      <c r="F34" s="33" t="s">
        <v>482</v>
      </c>
      <c r="G34" s="34" t="s">
        <v>63</v>
      </c>
    </row>
    <row r="35" spans="1:7">
      <c r="A35" s="22" t="s">
        <v>277</v>
      </c>
      <c r="B35" s="22" t="s">
        <v>163</v>
      </c>
      <c r="C35" s="23" t="s">
        <v>491</v>
      </c>
      <c r="D35" s="23" t="s">
        <v>508</v>
      </c>
      <c r="E35" s="22" t="s">
        <v>468</v>
      </c>
      <c r="F35" s="23" t="s">
        <v>459</v>
      </c>
      <c r="G35" s="34" t="s">
        <v>63</v>
      </c>
    </row>
    <row r="36" spans="1:7">
      <c r="A36" s="32" t="s">
        <v>424</v>
      </c>
      <c r="B36" s="32" t="s">
        <v>156</v>
      </c>
      <c r="C36" s="33" t="s">
        <v>509</v>
      </c>
      <c r="D36" s="33" t="s">
        <v>510</v>
      </c>
      <c r="E36" s="32" t="s">
        <v>468</v>
      </c>
      <c r="F36" s="33" t="s">
        <v>463</v>
      </c>
      <c r="G36" s="34" t="s">
        <v>63</v>
      </c>
    </row>
    <row r="37" spans="1:7">
      <c r="A37" s="22" t="s">
        <v>186</v>
      </c>
      <c r="B37" s="22" t="s">
        <v>33</v>
      </c>
      <c r="C37" s="23" t="s">
        <v>457</v>
      </c>
      <c r="D37" s="23" t="s">
        <v>458</v>
      </c>
      <c r="E37" s="22" t="s">
        <v>468</v>
      </c>
      <c r="F37" s="23" t="s">
        <v>482</v>
      </c>
      <c r="G37" s="34" t="s">
        <v>63</v>
      </c>
    </row>
    <row r="38" spans="1:7">
      <c r="A38" s="32" t="s">
        <v>341</v>
      </c>
      <c r="B38" s="32" t="s">
        <v>33</v>
      </c>
      <c r="C38" s="33" t="s">
        <v>467</v>
      </c>
      <c r="D38" s="33" t="s">
        <v>504</v>
      </c>
      <c r="E38" s="32" t="s">
        <v>462</v>
      </c>
      <c r="F38" s="33" t="s">
        <v>488</v>
      </c>
      <c r="G38" s="34" t="s">
        <v>63</v>
      </c>
    </row>
    <row r="39" spans="1:7">
      <c r="A39" s="22" t="s">
        <v>419</v>
      </c>
      <c r="B39" s="22" t="s">
        <v>44</v>
      </c>
      <c r="C39" s="23" t="s">
        <v>511</v>
      </c>
      <c r="D39" s="23" t="s">
        <v>487</v>
      </c>
      <c r="E39" s="22" t="s">
        <v>468</v>
      </c>
      <c r="F39" s="23" t="s">
        <v>482</v>
      </c>
      <c r="G39" s="34" t="s">
        <v>63</v>
      </c>
    </row>
    <row r="40" spans="1:7">
      <c r="A40" s="32" t="s">
        <v>132</v>
      </c>
      <c r="B40" s="32" t="s">
        <v>21</v>
      </c>
      <c r="C40" s="33" t="s">
        <v>512</v>
      </c>
      <c r="D40" s="33" t="s">
        <v>507</v>
      </c>
      <c r="E40" s="32" t="s">
        <v>468</v>
      </c>
      <c r="F40" s="33" t="s">
        <v>488</v>
      </c>
      <c r="G40" s="34" t="s">
        <v>63</v>
      </c>
    </row>
    <row r="41" spans="1:7">
      <c r="A41" s="22" t="s">
        <v>361</v>
      </c>
      <c r="B41" s="22" t="s">
        <v>156</v>
      </c>
      <c r="C41" s="23" t="s">
        <v>513</v>
      </c>
      <c r="D41" s="23" t="s">
        <v>463</v>
      </c>
      <c r="E41" s="22" t="s">
        <v>468</v>
      </c>
      <c r="F41" s="23" t="s">
        <v>463</v>
      </c>
      <c r="G41" s="34" t="s">
        <v>63</v>
      </c>
    </row>
    <row r="42" spans="1:7">
      <c r="A42" s="32" t="s">
        <v>256</v>
      </c>
      <c r="B42" s="32" t="s">
        <v>53</v>
      </c>
      <c r="C42" s="33" t="s">
        <v>476</v>
      </c>
      <c r="D42" s="33" t="s">
        <v>477</v>
      </c>
      <c r="E42" s="32" t="s">
        <v>468</v>
      </c>
      <c r="F42" s="33" t="s">
        <v>482</v>
      </c>
      <c r="G42" s="34" t="s">
        <v>63</v>
      </c>
    </row>
    <row r="43" spans="1:7">
      <c r="A43" s="22" t="s">
        <v>268</v>
      </c>
      <c r="B43" s="22" t="s">
        <v>163</v>
      </c>
      <c r="C43" s="23" t="s">
        <v>514</v>
      </c>
      <c r="D43" s="23" t="s">
        <v>508</v>
      </c>
      <c r="E43" s="22" t="s">
        <v>468</v>
      </c>
      <c r="F43" s="23" t="s">
        <v>469</v>
      </c>
      <c r="G43" s="34" t="s">
        <v>63</v>
      </c>
    </row>
    <row r="44" spans="1:7">
      <c r="A44" s="32" t="s">
        <v>441</v>
      </c>
      <c r="B44" s="32" t="s">
        <v>33</v>
      </c>
      <c r="C44" s="33" t="s">
        <v>515</v>
      </c>
      <c r="D44" s="33" t="s">
        <v>461</v>
      </c>
      <c r="E44" s="32" t="s">
        <v>468</v>
      </c>
      <c r="F44" s="33" t="s">
        <v>469</v>
      </c>
      <c r="G44" s="34" t="s">
        <v>63</v>
      </c>
    </row>
    <row r="45" spans="1:7">
      <c r="A45" s="22" t="s">
        <v>113</v>
      </c>
      <c r="B45" s="22" t="s">
        <v>33</v>
      </c>
      <c r="C45" s="23" t="s">
        <v>515</v>
      </c>
      <c r="D45" s="23" t="s">
        <v>504</v>
      </c>
      <c r="E45" s="22" t="s">
        <v>468</v>
      </c>
      <c r="F45" s="23" t="s">
        <v>463</v>
      </c>
      <c r="G45" s="34" t="s">
        <v>63</v>
      </c>
    </row>
    <row r="46" spans="1:7">
      <c r="A46" s="32" t="s">
        <v>202</v>
      </c>
      <c r="B46" s="32" t="s">
        <v>163</v>
      </c>
      <c r="C46" s="33" t="s">
        <v>516</v>
      </c>
      <c r="D46" s="33" t="s">
        <v>517</v>
      </c>
      <c r="E46" s="32" t="s">
        <v>468</v>
      </c>
      <c r="F46" s="33" t="s">
        <v>488</v>
      </c>
      <c r="G46" s="34" t="s">
        <v>63</v>
      </c>
    </row>
    <row r="47" spans="1:7">
      <c r="A47" s="22" t="s">
        <v>118</v>
      </c>
      <c r="B47" s="22" t="s">
        <v>44</v>
      </c>
      <c r="C47" s="23" t="s">
        <v>511</v>
      </c>
      <c r="D47" s="23" t="s">
        <v>495</v>
      </c>
      <c r="E47" s="22" t="s">
        <v>468</v>
      </c>
      <c r="F47" s="23" t="s">
        <v>488</v>
      </c>
      <c r="G47" s="34" t="s">
        <v>63</v>
      </c>
    </row>
    <row r="48" spans="1:7">
      <c r="A48" s="32" t="s">
        <v>356</v>
      </c>
      <c r="B48" s="32" t="s">
        <v>156</v>
      </c>
      <c r="C48" s="33" t="s">
        <v>509</v>
      </c>
      <c r="D48" s="33" t="s">
        <v>518</v>
      </c>
      <c r="E48" s="32" t="s">
        <v>468</v>
      </c>
      <c r="F48" s="33" t="s">
        <v>463</v>
      </c>
      <c r="G48" s="34" t="s">
        <v>63</v>
      </c>
    </row>
    <row r="49" spans="1:7">
      <c r="A49" s="22" t="s">
        <v>273</v>
      </c>
      <c r="B49" s="22" t="s">
        <v>33</v>
      </c>
      <c r="C49" s="23" t="s">
        <v>467</v>
      </c>
      <c r="D49" s="23" t="s">
        <v>504</v>
      </c>
      <c r="E49" s="22" t="s">
        <v>468</v>
      </c>
      <c r="F49" s="23" t="s">
        <v>459</v>
      </c>
      <c r="G49" s="34" t="s">
        <v>63</v>
      </c>
    </row>
    <row r="50" spans="1:7">
      <c r="A50" s="32" t="s">
        <v>301</v>
      </c>
      <c r="B50" s="32" t="s">
        <v>156</v>
      </c>
      <c r="C50" s="33" t="s">
        <v>470</v>
      </c>
      <c r="D50" s="33" t="s">
        <v>463</v>
      </c>
      <c r="E50" s="32" t="s">
        <v>468</v>
      </c>
      <c r="F50" s="33" t="s">
        <v>488</v>
      </c>
      <c r="G50" s="34" t="s">
        <v>63</v>
      </c>
    </row>
    <row r="51" spans="1:7">
      <c r="A51" s="22" t="s">
        <v>383</v>
      </c>
      <c r="B51" s="22" t="s">
        <v>44</v>
      </c>
      <c r="C51" s="23" t="s">
        <v>519</v>
      </c>
      <c r="D51" s="23" t="s">
        <v>487</v>
      </c>
      <c r="E51" s="22" t="s">
        <v>468</v>
      </c>
      <c r="F51" s="23" t="s">
        <v>469</v>
      </c>
      <c r="G51" s="34" t="s">
        <v>63</v>
      </c>
    </row>
    <row r="52" spans="1:7">
      <c r="A52" s="32" t="s">
        <v>387</v>
      </c>
      <c r="B52" s="32" t="s">
        <v>21</v>
      </c>
      <c r="C52" s="33" t="s">
        <v>490</v>
      </c>
      <c r="D52" s="33" t="s">
        <v>507</v>
      </c>
      <c r="E52" s="32" t="s">
        <v>468</v>
      </c>
      <c r="F52" s="33" t="s">
        <v>488</v>
      </c>
      <c r="G52" s="34" t="s">
        <v>63</v>
      </c>
    </row>
    <row r="53" spans="1:7">
      <c r="A53" s="22" t="s">
        <v>349</v>
      </c>
      <c r="B53" s="22" t="s">
        <v>44</v>
      </c>
      <c r="C53" s="23" t="s">
        <v>520</v>
      </c>
      <c r="D53" s="23" t="s">
        <v>521</v>
      </c>
      <c r="E53" s="22" t="s">
        <v>468</v>
      </c>
      <c r="F53" s="23" t="s">
        <v>463</v>
      </c>
      <c r="G53" s="34" t="s">
        <v>63</v>
      </c>
    </row>
    <row r="54" spans="1:7">
      <c r="A54" s="32" t="s">
        <v>368</v>
      </c>
      <c r="B54" s="32" t="s">
        <v>33</v>
      </c>
      <c r="C54" s="33" t="s">
        <v>460</v>
      </c>
      <c r="D54" s="33" t="s">
        <v>504</v>
      </c>
      <c r="E54" s="32" t="s">
        <v>522</v>
      </c>
      <c r="F54" s="33" t="s">
        <v>463</v>
      </c>
      <c r="G54" s="34" t="s">
        <v>63</v>
      </c>
    </row>
    <row r="55" spans="1:7">
      <c r="A55" s="22" t="s">
        <v>211</v>
      </c>
      <c r="B55" s="22" t="s">
        <v>156</v>
      </c>
      <c r="C55" s="23" t="s">
        <v>481</v>
      </c>
      <c r="D55" s="23" t="s">
        <v>471</v>
      </c>
      <c r="E55" s="22" t="s">
        <v>165</v>
      </c>
      <c r="F55" s="23" t="s">
        <v>488</v>
      </c>
      <c r="G55" s="34" t="s">
        <v>63</v>
      </c>
    </row>
    <row r="56" spans="1:7">
      <c r="A56" s="32" t="s">
        <v>296</v>
      </c>
      <c r="B56" s="32" t="s">
        <v>21</v>
      </c>
      <c r="C56" s="33" t="s">
        <v>505</v>
      </c>
      <c r="D56" s="33" t="s">
        <v>506</v>
      </c>
      <c r="E56" s="32" t="s">
        <v>468</v>
      </c>
      <c r="F56" s="33" t="s">
        <v>469</v>
      </c>
      <c r="G56" s="34" t="s">
        <v>63</v>
      </c>
    </row>
    <row r="57" spans="1:7">
      <c r="A57" s="22" t="s">
        <v>182</v>
      </c>
      <c r="B57" s="22" t="s">
        <v>33</v>
      </c>
      <c r="C57" s="23" t="s">
        <v>457</v>
      </c>
      <c r="D57" s="23" t="s">
        <v>461</v>
      </c>
      <c r="E57" s="22" t="s">
        <v>468</v>
      </c>
      <c r="F57" s="23" t="s">
        <v>459</v>
      </c>
      <c r="G57" s="34" t="s">
        <v>63</v>
      </c>
    </row>
    <row r="58" spans="1:7">
      <c r="A58" s="32" t="s">
        <v>313</v>
      </c>
      <c r="B58" s="32" t="s">
        <v>156</v>
      </c>
      <c r="C58" s="33" t="s">
        <v>470</v>
      </c>
      <c r="D58" s="33" t="s">
        <v>518</v>
      </c>
      <c r="E58" s="32" t="s">
        <v>523</v>
      </c>
      <c r="F58" s="33" t="s">
        <v>459</v>
      </c>
      <c r="G58" s="34" t="s">
        <v>63</v>
      </c>
    </row>
    <row r="59" spans="1:7">
      <c r="A59" s="22" t="s">
        <v>405</v>
      </c>
      <c r="B59" s="22" t="s">
        <v>44</v>
      </c>
      <c r="C59" s="23" t="s">
        <v>524</v>
      </c>
      <c r="D59" s="23" t="s">
        <v>495</v>
      </c>
      <c r="E59" s="22" t="s">
        <v>468</v>
      </c>
      <c r="F59" s="23" t="s">
        <v>469</v>
      </c>
      <c r="G59" s="34" t="s">
        <v>63</v>
      </c>
    </row>
    <row r="60" spans="1:7">
      <c r="A60" s="32" t="s">
        <v>193</v>
      </c>
      <c r="B60" s="32" t="s">
        <v>53</v>
      </c>
      <c r="C60" s="33" t="s">
        <v>525</v>
      </c>
      <c r="D60" s="33" t="s">
        <v>477</v>
      </c>
      <c r="E60" s="32" t="s">
        <v>468</v>
      </c>
      <c r="F60" s="33" t="s">
        <v>482</v>
      </c>
      <c r="G60" s="34" t="s">
        <v>63</v>
      </c>
    </row>
    <row r="61" spans="1:7">
      <c r="A61" s="22" t="s">
        <v>198</v>
      </c>
      <c r="B61" s="22" t="s">
        <v>21</v>
      </c>
      <c r="C61" s="23" t="s">
        <v>505</v>
      </c>
      <c r="D61" s="23" t="s">
        <v>507</v>
      </c>
      <c r="E61" s="22" t="s">
        <v>468</v>
      </c>
      <c r="F61" s="23" t="s">
        <v>488</v>
      </c>
      <c r="G61" s="34" t="s">
        <v>63</v>
      </c>
    </row>
  </sheetData>
  <autoFilter ref="A1:G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F9"/>
  <sheetViews>
    <sheetView tabSelected="1" topLeftCell="B1" workbookViewId="0">
      <selection activeCell="D11" sqref="A1:XFD1048576"/>
    </sheetView>
  </sheetViews>
  <sheetFormatPr defaultColWidth="8.6640625" defaultRowHeight="14.4"/>
  <cols>
    <col min="1" max="1" width="22" customWidth="1"/>
    <col min="2" max="3" width="38" customWidth="1"/>
    <col min="4" max="5" width="40" customWidth="1"/>
    <col min="6" max="6" width="38" customWidth="1"/>
  </cols>
  <sheetData>
    <row r="1" spans="1:6" ht="30" customHeight="1">
      <c r="A1" s="14" t="s">
        <v>526</v>
      </c>
      <c r="B1" s="14"/>
      <c r="C1" s="14"/>
      <c r="D1" s="14"/>
      <c r="E1" s="14"/>
      <c r="F1" s="14"/>
    </row>
    <row r="2" spans="1:6">
      <c r="A2" s="35" t="s">
        <v>5</v>
      </c>
      <c r="B2" s="35" t="s">
        <v>527</v>
      </c>
      <c r="C2" s="35" t="s">
        <v>528</v>
      </c>
      <c r="D2" s="35" t="s">
        <v>529</v>
      </c>
      <c r="E2" s="35" t="s">
        <v>530</v>
      </c>
      <c r="F2" s="35" t="s">
        <v>531</v>
      </c>
    </row>
    <row r="3" spans="1:6" ht="45" customHeight="1">
      <c r="A3" s="36" t="s">
        <v>21</v>
      </c>
      <c r="B3" s="37" t="s">
        <v>532</v>
      </c>
      <c r="C3" s="37" t="s">
        <v>533</v>
      </c>
      <c r="D3" s="37" t="s">
        <v>534</v>
      </c>
      <c r="E3" s="37" t="s">
        <v>535</v>
      </c>
      <c r="F3" s="37" t="s">
        <v>536</v>
      </c>
    </row>
    <row r="4" spans="1:6" ht="45" customHeight="1">
      <c r="A4" s="38" t="s">
        <v>33</v>
      </c>
      <c r="B4" s="39" t="s">
        <v>537</v>
      </c>
      <c r="C4" s="39" t="s">
        <v>538</v>
      </c>
      <c r="D4" s="39" t="s">
        <v>539</v>
      </c>
      <c r="E4" s="39" t="s">
        <v>540</v>
      </c>
      <c r="F4" s="39" t="s">
        <v>541</v>
      </c>
    </row>
    <row r="5" spans="1:6" ht="45" customHeight="1">
      <c r="A5" s="40" t="s">
        <v>75</v>
      </c>
      <c r="B5" s="41" t="s">
        <v>542</v>
      </c>
      <c r="C5" s="41" t="s">
        <v>543</v>
      </c>
      <c r="D5" s="41" t="s">
        <v>544</v>
      </c>
      <c r="E5" s="41" t="s">
        <v>545</v>
      </c>
      <c r="F5" s="41" t="s">
        <v>546</v>
      </c>
    </row>
    <row r="6" spans="1:6" ht="45" customHeight="1">
      <c r="A6" s="42" t="s">
        <v>44</v>
      </c>
      <c r="B6" s="43" t="s">
        <v>547</v>
      </c>
      <c r="C6" s="43" t="s">
        <v>548</v>
      </c>
      <c r="D6" s="43" t="s">
        <v>549</v>
      </c>
      <c r="E6" s="43" t="s">
        <v>550</v>
      </c>
      <c r="F6" s="43" t="s">
        <v>551</v>
      </c>
    </row>
    <row r="7" spans="1:6" ht="45" customHeight="1">
      <c r="A7" s="44" t="s">
        <v>53</v>
      </c>
      <c r="B7" s="45" t="s">
        <v>552</v>
      </c>
      <c r="C7" s="45" t="s">
        <v>553</v>
      </c>
      <c r="D7" s="45" t="s">
        <v>554</v>
      </c>
      <c r="E7" s="45" t="s">
        <v>555</v>
      </c>
      <c r="F7" s="45" t="s">
        <v>556</v>
      </c>
    </row>
    <row r="8" spans="1:6" ht="45" customHeight="1">
      <c r="A8" s="46" t="s">
        <v>156</v>
      </c>
      <c r="B8" s="47" t="s">
        <v>557</v>
      </c>
      <c r="C8" s="47" t="s">
        <v>558</v>
      </c>
      <c r="D8" s="47" t="s">
        <v>559</v>
      </c>
      <c r="E8" s="47" t="s">
        <v>560</v>
      </c>
      <c r="F8" s="47" t="s">
        <v>561</v>
      </c>
    </row>
    <row r="9" spans="1:6" ht="45" customHeight="1">
      <c r="A9" s="36" t="s">
        <v>163</v>
      </c>
      <c r="B9" s="37" t="s">
        <v>562</v>
      </c>
      <c r="C9" s="37" t="s">
        <v>563</v>
      </c>
      <c r="D9" s="37" t="s">
        <v>564</v>
      </c>
      <c r="E9" s="37" t="s">
        <v>565</v>
      </c>
      <c r="F9" s="37" t="s">
        <v>566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D7D31"/>
  </sheetPr>
  <dimension ref="A1:N25"/>
  <sheetViews>
    <sheetView workbookViewId="0">
      <selection activeCell="V85" sqref="V85"/>
    </sheetView>
  </sheetViews>
  <sheetFormatPr defaultColWidth="8.6640625" defaultRowHeight="14.4"/>
  <cols>
    <col min="1" max="12" width="9" customWidth="1"/>
  </cols>
  <sheetData>
    <row r="1" spans="1:14" ht="39.75" customHeight="1">
      <c r="A1" s="13" t="s">
        <v>567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ht="19.5" customHeight="1">
      <c r="A3" s="12" t="s">
        <v>568</v>
      </c>
      <c r="B3" s="12"/>
      <c r="C3" s="11" t="s">
        <v>569</v>
      </c>
      <c r="D3" s="11"/>
      <c r="E3" s="10" t="s">
        <v>570</v>
      </c>
      <c r="F3" s="10"/>
      <c r="G3" s="9" t="s">
        <v>571</v>
      </c>
      <c r="H3" s="9"/>
      <c r="I3" s="8" t="s">
        <v>572</v>
      </c>
      <c r="J3" s="8"/>
      <c r="K3" s="7" t="s">
        <v>573</v>
      </c>
      <c r="L3" s="7"/>
    </row>
    <row r="4" spans="1:14" ht="39.75" customHeight="1">
      <c r="A4" s="6">
        <f>COUNTA(Employee_Query_Data!A2:A101)</f>
        <v>100</v>
      </c>
      <c r="B4" s="6"/>
      <c r="C4" s="5">
        <f>COUNTIF(Employee_Query_Data!J:J,"Resolved")</f>
        <v>55</v>
      </c>
      <c r="D4" s="5"/>
      <c r="E4" s="4">
        <f>COUNTIF(Employee_Query_Data!N:N,"Yes")</f>
        <v>27</v>
      </c>
      <c r="F4" s="4"/>
      <c r="G4" s="3">
        <f>ROUND(AVERAGE(Employee_Query_Data!M2:M101),1)</f>
        <v>29.8</v>
      </c>
      <c r="H4" s="3"/>
      <c r="I4" s="2">
        <f>COUNTIF(Employee_Query_Data!H:H,"High")</f>
        <v>28</v>
      </c>
      <c r="J4" s="2"/>
      <c r="K4" s="1">
        <f>ROUND(COUNTIF(Employee_Query_Data!O:O,"Satisfied")/COUNTA(Employee_Query_Data!O2:O101)*100,1)</f>
        <v>48</v>
      </c>
      <c r="L4" s="1"/>
    </row>
    <row r="5" spans="1:14" ht="19.5" customHeight="1">
      <c r="A5" s="52"/>
      <c r="B5" s="52"/>
      <c r="C5" s="53"/>
      <c r="D5" s="53"/>
      <c r="E5" s="54"/>
      <c r="F5" s="54"/>
      <c r="G5" s="55"/>
      <c r="H5" s="55"/>
      <c r="I5" s="56"/>
      <c r="J5" s="56"/>
      <c r="K5" s="57"/>
      <c r="L5" s="57"/>
    </row>
    <row r="7" spans="1:14">
      <c r="A7" s="48" t="s">
        <v>574</v>
      </c>
      <c r="B7" s="49"/>
      <c r="D7" s="50" t="s">
        <v>575</v>
      </c>
      <c r="G7" s="50" t="s">
        <v>576</v>
      </c>
    </row>
    <row r="8" spans="1:14">
      <c r="A8" s="51" t="s">
        <v>5</v>
      </c>
      <c r="B8" s="51" t="s">
        <v>577</v>
      </c>
      <c r="D8" s="51" t="s">
        <v>578</v>
      </c>
      <c r="E8" s="51" t="s">
        <v>577</v>
      </c>
      <c r="G8" s="51" t="s">
        <v>9</v>
      </c>
      <c r="H8" s="51" t="s">
        <v>577</v>
      </c>
    </row>
    <row r="9" spans="1:14">
      <c r="A9" t="s">
        <v>21</v>
      </c>
      <c r="B9">
        <f>COUNTIF(Employee_Query_Data!F:F,A9)</f>
        <v>22</v>
      </c>
      <c r="D9" t="s">
        <v>20</v>
      </c>
      <c r="E9">
        <f>COUNTIF(Employee_Query_Data!E:E,D9)</f>
        <v>32</v>
      </c>
      <c r="G9" t="s">
        <v>24</v>
      </c>
      <c r="H9">
        <f>COUNTIF(Employee_Query_Data!J:J,G9)</f>
        <v>13</v>
      </c>
    </row>
    <row r="10" spans="1:14">
      <c r="A10" t="s">
        <v>33</v>
      </c>
      <c r="B10">
        <f>COUNTIF(Employee_Query_Data!F:F,A10)</f>
        <v>15</v>
      </c>
      <c r="D10" t="s">
        <v>32</v>
      </c>
      <c r="E10">
        <f>COUNTIF(Employee_Query_Data!E:E,D10)</f>
        <v>30</v>
      </c>
      <c r="G10" t="s">
        <v>46</v>
      </c>
      <c r="H10">
        <f>COUNTIF(Employee_Query_Data!J:J,G10)</f>
        <v>14</v>
      </c>
    </row>
    <row r="11" spans="1:14">
      <c r="A11" t="s">
        <v>75</v>
      </c>
      <c r="B11">
        <f>COUNTIF(Employee_Query_Data!F:F,A11)</f>
        <v>12</v>
      </c>
      <c r="D11" t="s">
        <v>52</v>
      </c>
      <c r="E11">
        <f>COUNTIF(Employee_Query_Data!E:E,D11)</f>
        <v>20</v>
      </c>
      <c r="G11" t="s">
        <v>36</v>
      </c>
      <c r="H11">
        <f>COUNTIF(Employee_Query_Data!J:J,G11)</f>
        <v>55</v>
      </c>
    </row>
    <row r="12" spans="1:14">
      <c r="A12" t="s">
        <v>44</v>
      </c>
      <c r="B12">
        <f>COUNTIF(Employee_Query_Data!F:F,A12)</f>
        <v>18</v>
      </c>
      <c r="D12" t="s">
        <v>43</v>
      </c>
      <c r="E12">
        <f>COUNTIF(Employee_Query_Data!E:E,D12)</f>
        <v>10</v>
      </c>
      <c r="G12" t="s">
        <v>62</v>
      </c>
      <c r="H12">
        <f>COUNTIF(Employee_Query_Data!J:J,G12)</f>
        <v>18</v>
      </c>
    </row>
    <row r="13" spans="1:14">
      <c r="A13" t="s">
        <v>53</v>
      </c>
      <c r="B13">
        <f>COUNTIF(Employee_Query_Data!F:F,A13)</f>
        <v>11</v>
      </c>
      <c r="D13" t="s">
        <v>97</v>
      </c>
      <c r="E13">
        <f>COUNTIF(Employee_Query_Data!E:E,D13)</f>
        <v>8</v>
      </c>
    </row>
    <row r="14" spans="1:14">
      <c r="A14" t="s">
        <v>156</v>
      </c>
      <c r="B14">
        <f>COUNTIF(Employee_Query_Data!F:F,A14)</f>
        <v>13</v>
      </c>
    </row>
    <row r="15" spans="1:14">
      <c r="A15" t="s">
        <v>163</v>
      </c>
      <c r="B15">
        <f>COUNTIF(Employee_Query_Data!F:F,A15)</f>
        <v>9</v>
      </c>
    </row>
    <row r="17" spans="1:8">
      <c r="A17" s="50" t="s">
        <v>579</v>
      </c>
      <c r="D17" s="50" t="s">
        <v>580</v>
      </c>
      <c r="G17" s="50" t="s">
        <v>581</v>
      </c>
    </row>
    <row r="18" spans="1:8">
      <c r="A18" s="51" t="s">
        <v>3</v>
      </c>
      <c r="B18" s="51" t="s">
        <v>577</v>
      </c>
      <c r="D18" s="51" t="s">
        <v>5</v>
      </c>
      <c r="E18" s="51" t="s">
        <v>62</v>
      </c>
      <c r="G18" s="51" t="s">
        <v>5</v>
      </c>
      <c r="H18" s="51" t="s">
        <v>582</v>
      </c>
    </row>
    <row r="19" spans="1:8">
      <c r="A19" t="s">
        <v>42</v>
      </c>
      <c r="B19">
        <f>COUNTIF(Employee_Query_Data!D:D,A19)</f>
        <v>33</v>
      </c>
      <c r="D19" t="s">
        <v>21</v>
      </c>
      <c r="E19">
        <f>COUNTIFS(Employee_Query_Data!F:F,D19,Employee_Query_Data!N:N,"Yes")</f>
        <v>8</v>
      </c>
      <c r="G19" t="s">
        <v>21</v>
      </c>
      <c r="H19">
        <f>IFERROR(ROUND(AVERAGEIF(Employee_Query_Data!F:F,G19,Employee_Query_Data!M:M),1),0)</f>
        <v>29.1</v>
      </c>
    </row>
    <row r="20" spans="1:8">
      <c r="A20" t="s">
        <v>74</v>
      </c>
      <c r="B20">
        <f>COUNTIF(Employee_Query_Data!D:D,A20)</f>
        <v>19</v>
      </c>
      <c r="D20" t="s">
        <v>33</v>
      </c>
      <c r="E20">
        <f>COUNTIFS(Employee_Query_Data!F:F,D20,Employee_Query_Data!N:N,"Yes")</f>
        <v>4</v>
      </c>
      <c r="G20" t="s">
        <v>33</v>
      </c>
      <c r="H20">
        <f>IFERROR(ROUND(AVERAGEIF(Employee_Query_Data!F:F,G20,Employee_Query_Data!M:M),1),0)</f>
        <v>31.7</v>
      </c>
    </row>
    <row r="21" spans="1:8">
      <c r="A21" t="s">
        <v>19</v>
      </c>
      <c r="B21">
        <f>COUNTIF(Employee_Query_Data!D:D,A21)</f>
        <v>24</v>
      </c>
      <c r="D21" t="s">
        <v>75</v>
      </c>
      <c r="E21">
        <f>COUNTIFS(Employee_Query_Data!F:F,D21,Employee_Query_Data!N:N,"Yes")</f>
        <v>5</v>
      </c>
      <c r="G21" t="s">
        <v>75</v>
      </c>
      <c r="H21">
        <f>IFERROR(ROUND(AVERAGEIF(Employee_Query_Data!F:F,G21,Employee_Query_Data!M:M),1),0)</f>
        <v>29.8</v>
      </c>
    </row>
    <row r="22" spans="1:8">
      <c r="A22" t="s">
        <v>68</v>
      </c>
      <c r="B22">
        <f>COUNTIF(Employee_Query_Data!D:D,A22)</f>
        <v>24</v>
      </c>
      <c r="D22" t="s">
        <v>44</v>
      </c>
      <c r="E22">
        <f>COUNTIFS(Employee_Query_Data!F:F,D22,Employee_Query_Data!N:N,"Yes")</f>
        <v>5</v>
      </c>
      <c r="G22" t="s">
        <v>44</v>
      </c>
      <c r="H22">
        <f>IFERROR(ROUND(AVERAGEIF(Employee_Query_Data!F:F,G22,Employee_Query_Data!M:M),1),0)</f>
        <v>25.2</v>
      </c>
    </row>
    <row r="23" spans="1:8">
      <c r="D23" t="s">
        <v>53</v>
      </c>
      <c r="E23">
        <f>COUNTIFS(Employee_Query_Data!F:F,D23,Employee_Query_Data!N:N,"Yes")</f>
        <v>1</v>
      </c>
      <c r="G23" t="s">
        <v>53</v>
      </c>
      <c r="H23">
        <f>IFERROR(ROUND(AVERAGEIF(Employee_Query_Data!F:F,G23,Employee_Query_Data!M:M),1),0)</f>
        <v>34.6</v>
      </c>
    </row>
    <row r="24" spans="1:8">
      <c r="D24" t="s">
        <v>156</v>
      </c>
      <c r="E24">
        <f>COUNTIFS(Employee_Query_Data!F:F,D24,Employee_Query_Data!N:N,"Yes")</f>
        <v>4</v>
      </c>
      <c r="G24" t="s">
        <v>156</v>
      </c>
      <c r="H24">
        <f>IFERROR(ROUND(AVERAGEIF(Employee_Query_Data!F:F,G24,Employee_Query_Data!M:M),1),0)</f>
        <v>28.6</v>
      </c>
    </row>
    <row r="25" spans="1:8">
      <c r="D25" t="s">
        <v>163</v>
      </c>
      <c r="E25">
        <f>COUNTIFS(Employee_Query_Data!F:F,D25,Employee_Query_Data!N:N,"Yes")</f>
        <v>0</v>
      </c>
      <c r="G25" t="s">
        <v>163</v>
      </c>
      <c r="H25">
        <f>IFERROR(ROUND(AVERAGEIF(Employee_Query_Data!F:F,G25,Employee_Query_Data!M:M),1),0)</f>
        <v>33.4</v>
      </c>
    </row>
  </sheetData>
  <mergeCells count="19">
    <mergeCell ref="K4:L4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A1:N1"/>
    <mergeCell ref="A3:B3"/>
    <mergeCell ref="C3:D3"/>
    <mergeCell ref="E3:F3"/>
    <mergeCell ref="G3:H3"/>
    <mergeCell ref="I3:J3"/>
    <mergeCell ref="K3:L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Employee_Query_Data</vt:lpstr>
      <vt:lpstr>Resolution_Log</vt:lpstr>
      <vt:lpstr>SOP_Guide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2026-04-16T04:07:10Z</dcterms:created>
  <dcterms:modified xsi:type="dcterms:W3CDTF">2026-04-16T04:17:11Z</dcterms:modified>
  <dc:language>en-US</dc:language>
</cp:coreProperties>
</file>